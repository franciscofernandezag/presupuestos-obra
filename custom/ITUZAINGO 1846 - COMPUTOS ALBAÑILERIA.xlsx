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TÉCNICA\2-Obras de terceros\M2\Ituzaingo 1846\"/>
    </mc:Choice>
  </mc:AlternateContent>
  <xr:revisionPtr revIDLastSave="0" documentId="13_ncr:1_{C322B6DC-AF3C-4403-9942-1BEF71739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UTO POR NIVELES" sheetId="1" r:id="rId1"/>
    <sheet name="TOT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C369" i="1"/>
  <c r="C500" i="1" l="1"/>
  <c r="C492" i="1"/>
  <c r="C484" i="1"/>
  <c r="C476" i="1"/>
  <c r="C473" i="1"/>
  <c r="C466" i="1"/>
  <c r="C459" i="1"/>
  <c r="C447" i="1"/>
  <c r="C439" i="1"/>
  <c r="C437" i="1"/>
  <c r="C435" i="1"/>
  <c r="C423" i="1"/>
  <c r="C377" i="1"/>
  <c r="C362" i="1"/>
  <c r="C340" i="1"/>
  <c r="C330" i="1"/>
  <c r="C321" i="1"/>
  <c r="C313" i="1"/>
  <c r="C305" i="1"/>
  <c r="C302" i="1"/>
  <c r="C299" i="1"/>
  <c r="C296" i="1"/>
  <c r="C289" i="1"/>
  <c r="C287" i="1"/>
  <c r="C285" i="1"/>
  <c r="C281" i="1"/>
  <c r="C277" i="1"/>
  <c r="C268" i="1"/>
  <c r="C266" i="1"/>
  <c r="C264" i="1"/>
  <c r="C255" i="1"/>
  <c r="C244" i="1"/>
  <c r="C172" i="1"/>
  <c r="C164" i="1"/>
  <c r="C162" i="1"/>
  <c r="C158" i="1"/>
  <c r="C150" i="1"/>
  <c r="C91" i="1"/>
  <c r="C89" i="1"/>
  <c r="C82" i="1"/>
</calcChain>
</file>

<file path=xl/sharedStrings.xml><?xml version="1.0" encoding="utf-8"?>
<sst xmlns="http://schemas.openxmlformats.org/spreadsheetml/2006/main" count="977" uniqueCount="121">
  <si>
    <t>ITUZAINGO 1846</t>
  </si>
  <si>
    <t>TRABAJOS PRELIMINARES</t>
  </si>
  <si>
    <t>Instalacion de Guinche</t>
  </si>
  <si>
    <t>u</t>
  </si>
  <si>
    <t>Colocación y provisión puertas guinche (total edificio)</t>
  </si>
  <si>
    <t>glb</t>
  </si>
  <si>
    <t>Acarreo y movimiento de materiales</t>
  </si>
  <si>
    <t>Carga y descarga de fletes (2 mensuales)</t>
  </si>
  <si>
    <t>Amure de rejas en espacios vulnerables</t>
  </si>
  <si>
    <t>Ejecución provisoria depósitos en mampostería</t>
  </si>
  <si>
    <t>Ejecución baño provisorio de obra (incluye revoques y amure de puerta)</t>
  </si>
  <si>
    <t>Instalacion de motacargas</t>
  </si>
  <si>
    <t>Puertas reglamentarias de montacarga</t>
  </si>
  <si>
    <t>Colocacion y limpieza de bandejas</t>
  </si>
  <si>
    <t>Armado y colocacion de barandas en balcones y escalera</t>
  </si>
  <si>
    <t>MOVIMIENTOS DE SUELO</t>
  </si>
  <si>
    <t>Demolición de vereda existente</t>
  </si>
  <si>
    <t>m2</t>
  </si>
  <si>
    <t>Nivelacion de suelo</t>
  </si>
  <si>
    <t>ESTRUCTURA RESISTENTE / CIMENTACIONES</t>
  </si>
  <si>
    <t>Tanque de reserva</t>
  </si>
  <si>
    <t>Pozo de bombeo (Hormigon)</t>
  </si>
  <si>
    <t>MAMPOSTERIA</t>
  </si>
  <si>
    <t>PISO 1</t>
  </si>
  <si>
    <t>PISO 2</t>
  </si>
  <si>
    <t>PISO 3</t>
  </si>
  <si>
    <t>PISO 4</t>
  </si>
  <si>
    <t>PISO 5</t>
  </si>
  <si>
    <t>PISO 6</t>
  </si>
  <si>
    <t>TERRAZA</t>
  </si>
  <si>
    <t>PLANTA BAJA</t>
  </si>
  <si>
    <t>SALA DE MAQUINAS</t>
  </si>
  <si>
    <t>Ladrillos común a panderete (Bañeras)</t>
  </si>
  <si>
    <t>Camaras de Inspeccion</t>
  </si>
  <si>
    <t>Ejecucion de nichos lavarropas</t>
  </si>
  <si>
    <t>Ejecucion de nichos en baños</t>
  </si>
  <si>
    <t>AISLACIONES</t>
  </si>
  <si>
    <t>Pintura asfaltica horizontal (Barrera de vapor) en balcones, patios y terraza</t>
  </si>
  <si>
    <t>Cuchareado hidrofugo con babeta en terraza y patios (Provisorio)</t>
  </si>
  <si>
    <t>Membrana hidrofuga Sala de maquinas y techo Gimnasio</t>
  </si>
  <si>
    <t>Pintura s/contrapiso marca Sika Monotop 107 (Balcones, patios, terraza)</t>
  </si>
  <si>
    <t>Capa aisladora tipo cajon</t>
  </si>
  <si>
    <t>COCHERA +1.85</t>
  </si>
  <si>
    <t>REVOQUES</t>
  </si>
  <si>
    <t>3 en 1 Común</t>
  </si>
  <si>
    <t>Webber Celublock vertical Común</t>
  </si>
  <si>
    <t>Material de Frente Colgado</t>
  </si>
  <si>
    <t>Material de Frente Común</t>
  </si>
  <si>
    <t>Mochetas x puertas</t>
  </si>
  <si>
    <t>COCHERA -1.05</t>
  </si>
  <si>
    <t>Mochetas x ventanas</t>
  </si>
  <si>
    <t>CONTRAPISO Y CARETA</t>
  </si>
  <si>
    <t>Contrapiso veredas</t>
  </si>
  <si>
    <t>Contrapiso bombeado s/TN</t>
  </si>
  <si>
    <t>Contrapiso bombeado s/Losa (Incluye carpeta) en balcones, patios piso 1 y terraza</t>
  </si>
  <si>
    <t>Contrapiso con perlitas de poliestireno en terraza, patio piso 5 y sala de maquinas</t>
  </si>
  <si>
    <t>Carpeta de cemento e=2cm s/cotrapiso de perlitas en terraza, patio piso 5 y gimnasio</t>
  </si>
  <si>
    <t>Reparacion escalera huella, contra huella y descanso</t>
  </si>
  <si>
    <t>GLOBAL</t>
  </si>
  <si>
    <t>Mantenimiento de la proteccion de escalera (fenolicos)</t>
  </si>
  <si>
    <t>Base de bañera y receptaculo de ducha</t>
  </si>
  <si>
    <t>Base apoyo ascensor en bajo y sobre recorrido</t>
  </si>
  <si>
    <t>SOLADOS</t>
  </si>
  <si>
    <t>Cocheras ( Hº llaneado)</t>
  </si>
  <si>
    <t>Vereda reglamentaria</t>
  </si>
  <si>
    <t>CARPINTERIA / HERRERIA</t>
  </si>
  <si>
    <t>Colocacion premarcos menos de 2m2</t>
  </si>
  <si>
    <t>Colocacion premarcos mas de 2m2</t>
  </si>
  <si>
    <t>Colocacion carpinteria montantes (Incluye zocalo de mamposteria)</t>
  </si>
  <si>
    <t>Colocacion puerta de nichos de gas y electricidad (Incluye zocalo de mamposteria)</t>
  </si>
  <si>
    <t>Colocacion puertas cortafuego</t>
  </si>
  <si>
    <t>INSTALACION SANITARIA (AYUDA DE GREMIOS)</t>
  </si>
  <si>
    <t>INSTALACION DE GAS (AYUDA DE GREMIOS, COLOCACION DE REJILLAS Y TIRAJES DE CALDERAS))</t>
  </si>
  <si>
    <t>Ventilaciones / Rejillas</t>
  </si>
  <si>
    <t>Tiraje de calderas</t>
  </si>
  <si>
    <t>Ayuda de gremios instalacion gas</t>
  </si>
  <si>
    <t>INSTALACION ELECTRICA (AYUDA DE GREMIOS)</t>
  </si>
  <si>
    <t>AIRES ACONDICIONADOS (AMURES DE CAJAS Y TAPADO DE CAÑERIAS)</t>
  </si>
  <si>
    <t>CALEFACCION POR RADIADORES (AYUDA DE GREMIOS)</t>
  </si>
  <si>
    <t>VARIOS</t>
  </si>
  <si>
    <t xml:space="preserve">Trabajos adicionales </t>
  </si>
  <si>
    <t>Ejecucion cabina reguladora (lateral y losa de cierre)</t>
  </si>
  <si>
    <t>Ejecucion TGBT (base de apoyo revocada)</t>
  </si>
  <si>
    <t>Parrilleros (Campana, banquina,colocacion ladrillos refractarios y pulmon)</t>
  </si>
  <si>
    <t>Limpieza de obra</t>
  </si>
  <si>
    <t>Preparacion de espacio para ubicacion de pileta</t>
  </si>
  <si>
    <t>Ayuda de gremios izamiento de piletas</t>
  </si>
  <si>
    <t>Encadenados en parapetos de Terraza</t>
  </si>
  <si>
    <t>m</t>
  </si>
  <si>
    <t>CANTEROS</t>
  </si>
  <si>
    <t>Mamposteria</t>
  </si>
  <si>
    <t>Pintura asfaltica</t>
  </si>
  <si>
    <t>Revoque</t>
  </si>
  <si>
    <t>Contrapiso (Incluye angulo a 45ª)</t>
  </si>
  <si>
    <t>Ladrillo Hueco del 8 cm</t>
  </si>
  <si>
    <t>Ladrillo Hueco del 12 cm</t>
  </si>
  <si>
    <t>Ladrillo Hº Celular 17.5 cm</t>
  </si>
  <si>
    <t>Ladrillo Hº Celular 20 cm</t>
  </si>
  <si>
    <t>Ladrillo Común e=5 cm (Panderete Enchape)</t>
  </si>
  <si>
    <t>Ladrillo Común e=20 cm</t>
  </si>
  <si>
    <t>Ladrillo Visto e=15 cm (En medianera junta tomada)</t>
  </si>
  <si>
    <t>Planta Baja</t>
  </si>
  <si>
    <t>Ladrillo Hueco del 18 cm</t>
  </si>
  <si>
    <t>Piso 1</t>
  </si>
  <si>
    <t>Piso 2</t>
  </si>
  <si>
    <t>Piso 3</t>
  </si>
  <si>
    <t>Piso 4</t>
  </si>
  <si>
    <t>Piso 5</t>
  </si>
  <si>
    <t>Piso 6</t>
  </si>
  <si>
    <t>Terraza</t>
  </si>
  <si>
    <t>Sala de Maquinas</t>
  </si>
  <si>
    <t>Ladrillo Hº Celular 15 cm</t>
  </si>
  <si>
    <t>Azotado Hidrofugo</t>
  </si>
  <si>
    <t>Pintura Asfaltica Comun</t>
  </si>
  <si>
    <t>Pintura Asfaltica Colgado</t>
  </si>
  <si>
    <t>Azotado Hidrofugo - Colgado</t>
  </si>
  <si>
    <t>Colocacion de Planta de Poliestireno Expandido en Medianeras</t>
  </si>
  <si>
    <t>Revoque Grueso Bajo Revestimiento (Altura 2.5 mts)</t>
  </si>
  <si>
    <t>Revoque Grueso en Montantes</t>
  </si>
  <si>
    <t>Revoque Grueso Exterior Fratasado</t>
  </si>
  <si>
    <t>Picadode Revoques en Muros Existentes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</si>
</sst>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2B579A"/>
      <name val="Calibri"/>
      <family val="2"/>
    </font>
    <font>
      <b/>
      <sz val="16"/>
      <name val="Segoe UI"/>
      <family val="2"/>
    </font>
    <font>
      <sz val="12"/>
      <name val="Segoe UI"/>
      <family val="2"/>
    </font>
    <font>
      <sz val="11"/>
      <name val="Calibri"/>
      <family val="2"/>
    </font>
    <font>
      <b/>
      <sz val="12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A143A3"/>
      </right>
      <top/>
      <bottom style="medium">
        <color rgb="FFA143A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2" borderId="1">
      <alignment horizontal="center" vertical="center"/>
    </xf>
    <xf numFmtId="0" fontId="1" fillId="0" borderId="0"/>
  </cellStyleXfs>
  <cellXfs count="26">
    <xf numFmtId="0" fontId="0" fillId="0" borderId="0" xfId="0"/>
    <xf numFmtId="49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right"/>
    </xf>
    <xf numFmtId="49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49" fontId="5" fillId="5" borderId="0" xfId="0" applyNumberFormat="1" applyFont="1" applyFill="1" applyAlignment="1">
      <alignment vertical="center"/>
    </xf>
    <xf numFmtId="49" fontId="5" fillId="6" borderId="0" xfId="0" applyNumberFormat="1" applyFont="1" applyFill="1" applyAlignment="1">
      <alignment vertical="center"/>
    </xf>
    <xf numFmtId="0" fontId="2" fillId="0" borderId="0" xfId="0" applyFont="1"/>
    <xf numFmtId="49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49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6" borderId="0" xfId="0" applyFill="1"/>
    <xf numFmtId="0" fontId="0" fillId="5" borderId="0" xfId="0" applyFill="1"/>
    <xf numFmtId="49" fontId="9" fillId="3" borderId="0" xfId="3" applyNumberFormat="1" applyFont="1" applyFill="1" applyAlignment="1">
      <alignment horizontal="left"/>
    </xf>
    <xf numFmtId="4" fontId="9" fillId="3" borderId="0" xfId="3" applyNumberFormat="1" applyFont="1" applyFill="1" applyAlignment="1">
      <alignment horizontal="right"/>
    </xf>
    <xf numFmtId="49" fontId="8" fillId="5" borderId="0" xfId="3" applyNumberFormat="1" applyFont="1" applyFill="1" applyAlignment="1">
      <alignment horizontal="left"/>
    </xf>
    <xf numFmtId="3" fontId="8" fillId="5" borderId="0" xfId="3" applyNumberFormat="1" applyFont="1" applyFill="1" applyAlignment="1">
      <alignment horizontal="right"/>
    </xf>
    <xf numFmtId="49" fontId="7" fillId="4" borderId="0" xfId="0" applyNumberFormat="1" applyFont="1" applyFill="1" applyAlignment="1">
      <alignment horizontal="left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7" borderId="4" xfId="0" applyNumberFormat="1" applyFont="1" applyFill="1" applyBorder="1" applyAlignment="1">
      <alignment horizontal="center" vertical="center"/>
    </xf>
  </cellXfs>
  <cellStyles count="4">
    <cellStyle name="ConditionalFormatStyle" xfId="1" xr:uid="{00000000-0005-0000-0000-000006000000}"/>
    <cellStyle name="HeaderStyle" xfId="2" xr:uid="{00000000-0005-0000-0000-000007000000}"/>
    <cellStyle name="Normal" xfId="0" builtinId="0"/>
    <cellStyle name="Normal 2" xfId="3" xr:uid="{DF9C6D69-6E0E-464D-9B75-CE6C3E09D70D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8"/>
  <sheetViews>
    <sheetView tabSelected="1" topLeftCell="A17" zoomScaleNormal="100" workbookViewId="0">
      <selection activeCell="C285" sqref="C285"/>
    </sheetView>
  </sheetViews>
  <sheetFormatPr baseColWidth="10" defaultColWidth="9.109375" defaultRowHeight="14.4" outlineLevelRow="2" x14ac:dyDescent="0.3"/>
  <cols>
    <col min="1" max="1" width="87.5546875" style="3" bestFit="1" customWidth="1"/>
    <col min="2" max="2" width="6.109375" style="6" bestFit="1" customWidth="1"/>
    <col min="3" max="3" width="6.5546875" style="4" customWidth="1"/>
  </cols>
  <sheetData>
    <row r="1" spans="1:3" ht="21.9" customHeight="1" thickBot="1" x14ac:dyDescent="0.35">
      <c r="A1" s="23" t="s">
        <v>0</v>
      </c>
      <c r="B1" s="24"/>
      <c r="C1" s="25"/>
    </row>
    <row r="2" spans="1:3" ht="21.9" customHeight="1" x14ac:dyDescent="0.3">
      <c r="A2" s="22" t="s">
        <v>1</v>
      </c>
      <c r="B2" s="22"/>
      <c r="C2" s="22"/>
    </row>
    <row r="3" spans="1:3" ht="21.9" hidden="1" customHeight="1" outlineLevel="1" x14ac:dyDescent="0.3">
      <c r="A3" s="8" t="s">
        <v>2</v>
      </c>
      <c r="B3" s="12" t="s">
        <v>3</v>
      </c>
      <c r="C3" s="13">
        <v>1</v>
      </c>
    </row>
    <row r="4" spans="1:3" ht="21.9" hidden="1" customHeight="1" outlineLevel="1" x14ac:dyDescent="0.3">
      <c r="A4" s="8" t="s">
        <v>4</v>
      </c>
      <c r="B4" s="12" t="s">
        <v>5</v>
      </c>
      <c r="C4" s="13">
        <v>1</v>
      </c>
    </row>
    <row r="5" spans="1:3" ht="21.9" hidden="1" customHeight="1" outlineLevel="1" x14ac:dyDescent="0.3">
      <c r="A5" s="8" t="s">
        <v>6</v>
      </c>
      <c r="B5" s="12" t="s">
        <v>5</v>
      </c>
      <c r="C5" s="13">
        <v>1</v>
      </c>
    </row>
    <row r="6" spans="1:3" ht="21.9" hidden="1" customHeight="1" outlineLevel="1" x14ac:dyDescent="0.3">
      <c r="A6" s="8" t="s">
        <v>7</v>
      </c>
      <c r="B6" s="12" t="s">
        <v>3</v>
      </c>
      <c r="C6" s="13">
        <v>24</v>
      </c>
    </row>
    <row r="7" spans="1:3" ht="21.9" hidden="1" customHeight="1" outlineLevel="1" x14ac:dyDescent="0.3">
      <c r="A7" s="8" t="s">
        <v>8</v>
      </c>
      <c r="B7" s="12" t="s">
        <v>5</v>
      </c>
      <c r="C7" s="13">
        <v>1</v>
      </c>
    </row>
    <row r="8" spans="1:3" ht="21.9" hidden="1" customHeight="1" outlineLevel="1" x14ac:dyDescent="0.3">
      <c r="A8" s="8" t="s">
        <v>9</v>
      </c>
      <c r="B8" s="12" t="s">
        <v>5</v>
      </c>
      <c r="C8" s="13">
        <v>1</v>
      </c>
    </row>
    <row r="9" spans="1:3" ht="21.9" hidden="1" customHeight="1" outlineLevel="1" x14ac:dyDescent="0.3">
      <c r="A9" s="8" t="s">
        <v>10</v>
      </c>
      <c r="B9" s="12" t="s">
        <v>5</v>
      </c>
      <c r="C9" s="13">
        <v>1</v>
      </c>
    </row>
    <row r="10" spans="1:3" ht="21.9" hidden="1" customHeight="1" outlineLevel="1" x14ac:dyDescent="0.3">
      <c r="A10" s="8" t="s">
        <v>11</v>
      </c>
      <c r="B10" s="12" t="s">
        <v>5</v>
      </c>
      <c r="C10" s="13">
        <v>1</v>
      </c>
    </row>
    <row r="11" spans="1:3" ht="21.9" hidden="1" customHeight="1" outlineLevel="1" x14ac:dyDescent="0.3">
      <c r="A11" s="8" t="s">
        <v>12</v>
      </c>
      <c r="B11" s="12" t="s">
        <v>5</v>
      </c>
      <c r="C11" s="13">
        <v>1</v>
      </c>
    </row>
    <row r="12" spans="1:3" ht="21.9" hidden="1" customHeight="1" outlineLevel="1" x14ac:dyDescent="0.3">
      <c r="A12" s="8" t="s">
        <v>13</v>
      </c>
      <c r="B12" s="12" t="s">
        <v>5</v>
      </c>
      <c r="C12" s="13">
        <v>1</v>
      </c>
    </row>
    <row r="13" spans="1:3" ht="21.9" hidden="1" customHeight="1" outlineLevel="1" x14ac:dyDescent="0.3">
      <c r="A13" s="8" t="s">
        <v>14</v>
      </c>
      <c r="B13" s="12" t="s">
        <v>5</v>
      </c>
      <c r="C13" s="13">
        <v>1</v>
      </c>
    </row>
    <row r="14" spans="1:3" ht="21.9" customHeight="1" collapsed="1" x14ac:dyDescent="0.3">
      <c r="A14" s="22" t="s">
        <v>15</v>
      </c>
      <c r="B14" s="22"/>
      <c r="C14" s="22"/>
    </row>
    <row r="15" spans="1:3" ht="21.9" hidden="1" customHeight="1" outlineLevel="1" x14ac:dyDescent="0.3">
      <c r="A15" s="8" t="s">
        <v>16</v>
      </c>
      <c r="B15" s="12" t="s">
        <v>17</v>
      </c>
      <c r="C15" s="13">
        <v>52.02</v>
      </c>
    </row>
    <row r="16" spans="1:3" ht="21.9" hidden="1" customHeight="1" outlineLevel="1" x14ac:dyDescent="0.3">
      <c r="A16" s="8" t="s">
        <v>18</v>
      </c>
      <c r="B16" s="12" t="s">
        <v>17</v>
      </c>
      <c r="C16" s="13">
        <v>0</v>
      </c>
    </row>
    <row r="17" spans="1:3" ht="21.9" customHeight="1" collapsed="1" x14ac:dyDescent="0.3">
      <c r="A17" s="22" t="s">
        <v>19</v>
      </c>
      <c r="B17" s="22"/>
      <c r="C17" s="22"/>
    </row>
    <row r="18" spans="1:3" ht="21.9" hidden="1" customHeight="1" outlineLevel="1" x14ac:dyDescent="0.3">
      <c r="A18" s="8" t="s">
        <v>20</v>
      </c>
      <c r="B18" s="12" t="s">
        <v>3</v>
      </c>
      <c r="C18" s="13">
        <v>0</v>
      </c>
    </row>
    <row r="19" spans="1:3" ht="21.9" hidden="1" customHeight="1" outlineLevel="1" x14ac:dyDescent="0.3">
      <c r="A19" s="8" t="s">
        <v>21</v>
      </c>
      <c r="B19" s="12" t="s">
        <v>3</v>
      </c>
      <c r="C19" s="13">
        <v>1</v>
      </c>
    </row>
    <row r="20" spans="1:3" ht="21.9" customHeight="1" collapsed="1" x14ac:dyDescent="0.3">
      <c r="A20" s="22" t="s">
        <v>22</v>
      </c>
      <c r="B20" s="22"/>
      <c r="C20" s="22"/>
    </row>
    <row r="21" spans="1:3" ht="21.9" hidden="1" customHeight="1" outlineLevel="1" x14ac:dyDescent="0.3">
      <c r="A21" s="7" t="s">
        <v>101</v>
      </c>
      <c r="B21" s="10"/>
      <c r="C21" s="11"/>
    </row>
    <row r="22" spans="1:3" s="16" customFormat="1" ht="21.9" hidden="1" customHeight="1" outlineLevel="1" x14ac:dyDescent="0.3">
      <c r="A22" s="8" t="s">
        <v>94</v>
      </c>
      <c r="B22" s="8" t="s">
        <v>17</v>
      </c>
      <c r="C22" s="8">
        <v>23.39</v>
      </c>
    </row>
    <row r="23" spans="1:3" s="16" customFormat="1" ht="21.9" hidden="1" customHeight="1" outlineLevel="1" x14ac:dyDescent="0.3">
      <c r="A23" s="8" t="s">
        <v>95</v>
      </c>
      <c r="B23" s="8" t="s">
        <v>17</v>
      </c>
      <c r="C23" s="8">
        <v>31.2</v>
      </c>
    </row>
    <row r="24" spans="1:3" s="16" customFormat="1" ht="21.9" hidden="1" customHeight="1" outlineLevel="1" x14ac:dyDescent="0.3">
      <c r="A24" s="8" t="s">
        <v>102</v>
      </c>
      <c r="B24" s="8" t="s">
        <v>17</v>
      </c>
      <c r="C24" s="8">
        <v>34.82</v>
      </c>
    </row>
    <row r="25" spans="1:3" ht="21.9" hidden="1" customHeight="1" outlineLevel="1" x14ac:dyDescent="0.3">
      <c r="A25" s="7" t="s">
        <v>103</v>
      </c>
      <c r="B25" s="10"/>
      <c r="C25" s="11"/>
    </row>
    <row r="26" spans="1:3" s="16" customFormat="1" ht="21.9" hidden="1" customHeight="1" outlineLevel="1" x14ac:dyDescent="0.3">
      <c r="A26" s="8" t="s">
        <v>94</v>
      </c>
      <c r="B26" s="8" t="s">
        <v>17</v>
      </c>
      <c r="C26" s="8">
        <v>198.7</v>
      </c>
    </row>
    <row r="27" spans="1:3" s="16" customFormat="1" ht="21.9" hidden="1" customHeight="1" outlineLevel="1" x14ac:dyDescent="0.3">
      <c r="A27" s="8" t="s">
        <v>95</v>
      </c>
      <c r="B27" s="8" t="s">
        <v>17</v>
      </c>
      <c r="C27" s="8">
        <v>123.22</v>
      </c>
    </row>
    <row r="28" spans="1:3" s="16" customFormat="1" ht="21.9" hidden="1" customHeight="1" outlineLevel="1" x14ac:dyDescent="0.3">
      <c r="A28" s="8" t="s">
        <v>96</v>
      </c>
      <c r="B28" s="8" t="s">
        <v>17</v>
      </c>
      <c r="C28" s="8">
        <v>15.11</v>
      </c>
    </row>
    <row r="29" spans="1:3" s="16" customFormat="1" ht="21.9" hidden="1" customHeight="1" outlineLevel="1" x14ac:dyDescent="0.3">
      <c r="A29" s="8" t="s">
        <v>97</v>
      </c>
      <c r="B29" s="8" t="s">
        <v>17</v>
      </c>
      <c r="C29" s="8">
        <v>13.55</v>
      </c>
    </row>
    <row r="30" spans="1:3" s="16" customFormat="1" ht="21.9" hidden="1" customHeight="1" outlineLevel="1" x14ac:dyDescent="0.3">
      <c r="A30" s="8" t="s">
        <v>98</v>
      </c>
      <c r="B30" s="8" t="s">
        <v>17</v>
      </c>
      <c r="C30" s="8">
        <v>5.08</v>
      </c>
    </row>
    <row r="31" spans="1:3" s="16" customFormat="1" ht="21.9" hidden="1" customHeight="1" outlineLevel="1" x14ac:dyDescent="0.3">
      <c r="A31" s="8" t="s">
        <v>99</v>
      </c>
      <c r="B31" s="8" t="s">
        <v>17</v>
      </c>
      <c r="C31" s="8">
        <v>25.85</v>
      </c>
    </row>
    <row r="32" spans="1:3" s="16" customFormat="1" ht="21.9" hidden="1" customHeight="1" outlineLevel="1" x14ac:dyDescent="0.3">
      <c r="A32" s="8" t="s">
        <v>100</v>
      </c>
      <c r="B32" s="8" t="s">
        <v>17</v>
      </c>
      <c r="C32" s="8">
        <v>479.55</v>
      </c>
    </row>
    <row r="33" spans="1:3" s="16" customFormat="1" ht="21.9" hidden="1" customHeight="1" outlineLevel="1" x14ac:dyDescent="0.3">
      <c r="A33" s="7" t="s">
        <v>104</v>
      </c>
      <c r="B33" s="7"/>
      <c r="C33" s="7"/>
    </row>
    <row r="34" spans="1:3" s="16" customFormat="1" ht="21.9" hidden="1" customHeight="1" outlineLevel="1" x14ac:dyDescent="0.3">
      <c r="A34" s="8" t="s">
        <v>94</v>
      </c>
      <c r="B34" s="8" t="s">
        <v>17</v>
      </c>
      <c r="C34" s="8">
        <v>198.58</v>
      </c>
    </row>
    <row r="35" spans="1:3" s="16" customFormat="1" ht="21.9" hidden="1" customHeight="1" outlineLevel="1" x14ac:dyDescent="0.3">
      <c r="A35" s="8" t="s">
        <v>95</v>
      </c>
      <c r="B35" s="8" t="s">
        <v>17</v>
      </c>
      <c r="C35" s="8">
        <v>143.76</v>
      </c>
    </row>
    <row r="36" spans="1:3" s="16" customFormat="1" ht="21.9" hidden="1" customHeight="1" outlineLevel="1" x14ac:dyDescent="0.3">
      <c r="A36" s="8" t="s">
        <v>96</v>
      </c>
      <c r="B36" s="8" t="s">
        <v>17</v>
      </c>
      <c r="C36" s="8">
        <v>14.05</v>
      </c>
    </row>
    <row r="37" spans="1:3" s="16" customFormat="1" ht="21.9" hidden="1" customHeight="1" outlineLevel="1" x14ac:dyDescent="0.3">
      <c r="A37" s="8" t="s">
        <v>97</v>
      </c>
      <c r="B37" s="8" t="s">
        <v>17</v>
      </c>
      <c r="C37" s="8">
        <v>13.53</v>
      </c>
    </row>
    <row r="38" spans="1:3" s="16" customFormat="1" ht="21.9" hidden="1" customHeight="1" outlineLevel="1" x14ac:dyDescent="0.3">
      <c r="A38" s="8" t="s">
        <v>98</v>
      </c>
      <c r="B38" s="8" t="s">
        <v>17</v>
      </c>
      <c r="C38" s="8">
        <v>5.7</v>
      </c>
    </row>
    <row r="39" spans="1:3" s="16" customFormat="1" ht="21.9" hidden="1" customHeight="1" outlineLevel="1" x14ac:dyDescent="0.3">
      <c r="A39" s="8" t="s">
        <v>99</v>
      </c>
      <c r="B39" s="8" t="s">
        <v>17</v>
      </c>
      <c r="C39" s="8">
        <v>27.92</v>
      </c>
    </row>
    <row r="40" spans="1:3" s="16" customFormat="1" ht="21.9" hidden="1" customHeight="1" outlineLevel="1" x14ac:dyDescent="0.3">
      <c r="A40" s="8" t="s">
        <v>100</v>
      </c>
      <c r="B40" s="8" t="s">
        <v>17</v>
      </c>
      <c r="C40" s="8">
        <v>125.96</v>
      </c>
    </row>
    <row r="41" spans="1:3" s="16" customFormat="1" ht="21.9" hidden="1" customHeight="1" outlineLevel="1" x14ac:dyDescent="0.3">
      <c r="A41" s="7" t="s">
        <v>105</v>
      </c>
      <c r="B41" s="7"/>
      <c r="C41" s="7"/>
    </row>
    <row r="42" spans="1:3" s="16" customFormat="1" ht="21.9" hidden="1" customHeight="1" outlineLevel="1" x14ac:dyDescent="0.3">
      <c r="A42" s="8" t="s">
        <v>94</v>
      </c>
      <c r="B42" s="8" t="s">
        <v>17</v>
      </c>
      <c r="C42" s="8">
        <v>200.17</v>
      </c>
    </row>
    <row r="43" spans="1:3" s="16" customFormat="1" ht="21.9" hidden="1" customHeight="1" outlineLevel="1" x14ac:dyDescent="0.3">
      <c r="A43" s="8" t="s">
        <v>95</v>
      </c>
      <c r="B43" s="8" t="s">
        <v>17</v>
      </c>
      <c r="C43" s="8">
        <v>147.71</v>
      </c>
    </row>
    <row r="44" spans="1:3" s="16" customFormat="1" ht="21.9" hidden="1" customHeight="1" outlineLevel="1" x14ac:dyDescent="0.3">
      <c r="A44" s="8" t="s">
        <v>96</v>
      </c>
      <c r="B44" s="8" t="s">
        <v>17</v>
      </c>
      <c r="C44" s="8">
        <v>15.44</v>
      </c>
    </row>
    <row r="45" spans="1:3" s="16" customFormat="1" ht="21.9" hidden="1" customHeight="1" outlineLevel="1" x14ac:dyDescent="0.3">
      <c r="A45" s="8" t="s">
        <v>97</v>
      </c>
      <c r="B45" s="8" t="s">
        <v>17</v>
      </c>
      <c r="C45" s="8">
        <v>14.07</v>
      </c>
    </row>
    <row r="46" spans="1:3" s="16" customFormat="1" ht="21.9" hidden="1" customHeight="1" outlineLevel="1" x14ac:dyDescent="0.3">
      <c r="A46" s="8" t="s">
        <v>98</v>
      </c>
      <c r="B46" s="8" t="s">
        <v>17</v>
      </c>
      <c r="C46" s="8">
        <v>5.7</v>
      </c>
    </row>
    <row r="47" spans="1:3" s="16" customFormat="1" ht="21.9" hidden="1" customHeight="1" outlineLevel="1" x14ac:dyDescent="0.3">
      <c r="A47" s="8" t="s">
        <v>99</v>
      </c>
      <c r="B47" s="8" t="s">
        <v>17</v>
      </c>
      <c r="C47" s="8">
        <v>27.92</v>
      </c>
    </row>
    <row r="48" spans="1:3" s="16" customFormat="1" ht="21.9" hidden="1" customHeight="1" outlineLevel="1" x14ac:dyDescent="0.3">
      <c r="A48" s="8" t="s">
        <v>100</v>
      </c>
      <c r="B48" s="8" t="s">
        <v>17</v>
      </c>
      <c r="C48" s="8">
        <v>125.94</v>
      </c>
    </row>
    <row r="49" spans="1:3" s="16" customFormat="1" ht="21.9" hidden="1" customHeight="1" outlineLevel="1" x14ac:dyDescent="0.3">
      <c r="A49" s="7" t="s">
        <v>106</v>
      </c>
      <c r="B49" s="7"/>
      <c r="C49" s="7"/>
    </row>
    <row r="50" spans="1:3" s="16" customFormat="1" ht="21.9" hidden="1" customHeight="1" outlineLevel="1" x14ac:dyDescent="0.3">
      <c r="A50" s="8" t="s">
        <v>94</v>
      </c>
      <c r="B50" s="8" t="s">
        <v>17</v>
      </c>
      <c r="C50" s="8">
        <v>200.14</v>
      </c>
    </row>
    <row r="51" spans="1:3" s="16" customFormat="1" ht="21.9" hidden="1" customHeight="1" outlineLevel="1" x14ac:dyDescent="0.3">
      <c r="A51" s="8" t="s">
        <v>95</v>
      </c>
      <c r="B51" s="8" t="s">
        <v>17</v>
      </c>
      <c r="C51" s="8">
        <v>126.05</v>
      </c>
    </row>
    <row r="52" spans="1:3" s="16" customFormat="1" ht="21.9" hidden="1" customHeight="1" outlineLevel="1" x14ac:dyDescent="0.3">
      <c r="A52" s="8" t="s">
        <v>96</v>
      </c>
      <c r="B52" s="8" t="s">
        <v>17</v>
      </c>
      <c r="C52" s="8">
        <v>16.03</v>
      </c>
    </row>
    <row r="53" spans="1:3" s="16" customFormat="1" ht="21.9" hidden="1" customHeight="1" outlineLevel="1" x14ac:dyDescent="0.3">
      <c r="A53" s="8" t="s">
        <v>97</v>
      </c>
      <c r="B53" s="8" t="s">
        <v>17</v>
      </c>
      <c r="C53" s="8">
        <v>13.93</v>
      </c>
    </row>
    <row r="54" spans="1:3" s="16" customFormat="1" ht="21.9" hidden="1" customHeight="1" outlineLevel="1" x14ac:dyDescent="0.3">
      <c r="A54" s="8" t="s">
        <v>98</v>
      </c>
      <c r="B54" s="8" t="s">
        <v>17</v>
      </c>
      <c r="C54" s="8">
        <v>5.59</v>
      </c>
    </row>
    <row r="55" spans="1:3" s="16" customFormat="1" ht="21.9" hidden="1" customHeight="1" outlineLevel="1" x14ac:dyDescent="0.3">
      <c r="A55" s="8" t="s">
        <v>99</v>
      </c>
      <c r="B55" s="8" t="s">
        <v>17</v>
      </c>
      <c r="C55" s="8">
        <v>28.31</v>
      </c>
    </row>
    <row r="56" spans="1:3" s="16" customFormat="1" ht="21.9" hidden="1" customHeight="1" outlineLevel="1" x14ac:dyDescent="0.3">
      <c r="A56" s="8" t="s">
        <v>100</v>
      </c>
      <c r="B56" s="8" t="s">
        <v>17</v>
      </c>
      <c r="C56" s="8">
        <v>136.46</v>
      </c>
    </row>
    <row r="57" spans="1:3" s="16" customFormat="1" ht="21.9" hidden="1" customHeight="1" outlineLevel="1" x14ac:dyDescent="0.3">
      <c r="A57" s="7" t="s">
        <v>107</v>
      </c>
      <c r="B57" s="7"/>
      <c r="C57" s="7"/>
    </row>
    <row r="58" spans="1:3" s="16" customFormat="1" ht="21.9" hidden="1" customHeight="1" outlineLevel="1" x14ac:dyDescent="0.3">
      <c r="A58" s="8" t="s">
        <v>94</v>
      </c>
      <c r="B58" s="8" t="s">
        <v>17</v>
      </c>
      <c r="C58" s="8">
        <v>121.4</v>
      </c>
    </row>
    <row r="59" spans="1:3" s="16" customFormat="1" ht="21.9" hidden="1" customHeight="1" outlineLevel="1" x14ac:dyDescent="0.3">
      <c r="A59" s="8" t="s">
        <v>95</v>
      </c>
      <c r="B59" s="8" t="s">
        <v>17</v>
      </c>
      <c r="C59" s="8">
        <v>121.46</v>
      </c>
    </row>
    <row r="60" spans="1:3" s="16" customFormat="1" ht="21.9" hidden="1" customHeight="1" outlineLevel="1" x14ac:dyDescent="0.3">
      <c r="A60" s="8" t="s">
        <v>96</v>
      </c>
      <c r="B60" s="8" t="s">
        <v>17</v>
      </c>
      <c r="C60" s="8">
        <v>16.02</v>
      </c>
    </row>
    <row r="61" spans="1:3" s="16" customFormat="1" ht="21.9" hidden="1" customHeight="1" outlineLevel="1" x14ac:dyDescent="0.3">
      <c r="A61" s="8" t="s">
        <v>97</v>
      </c>
      <c r="B61" s="8" t="s">
        <v>17</v>
      </c>
      <c r="C61" s="8">
        <v>11.27</v>
      </c>
    </row>
    <row r="62" spans="1:3" s="16" customFormat="1" ht="21.9" hidden="1" customHeight="1" outlineLevel="1" x14ac:dyDescent="0.3">
      <c r="A62" s="8" t="s">
        <v>98</v>
      </c>
      <c r="B62" s="8" t="s">
        <v>17</v>
      </c>
      <c r="C62" s="8">
        <v>6.11</v>
      </c>
    </row>
    <row r="63" spans="1:3" s="16" customFormat="1" ht="21.9" hidden="1" customHeight="1" outlineLevel="1" x14ac:dyDescent="0.3">
      <c r="A63" s="8" t="s">
        <v>99</v>
      </c>
      <c r="B63" s="8" t="s">
        <v>17</v>
      </c>
      <c r="C63" s="8">
        <v>34.520000000000003</v>
      </c>
    </row>
    <row r="64" spans="1:3" s="16" customFormat="1" ht="21.9" hidden="1" customHeight="1" outlineLevel="1" x14ac:dyDescent="0.3">
      <c r="A64" s="8" t="s">
        <v>100</v>
      </c>
      <c r="B64" s="8" t="s">
        <v>17</v>
      </c>
      <c r="C64" s="8">
        <v>149.63</v>
      </c>
    </row>
    <row r="65" spans="1:3" s="16" customFormat="1" ht="21.9" hidden="1" customHeight="1" outlineLevel="1" x14ac:dyDescent="0.3">
      <c r="A65" s="7" t="s">
        <v>108</v>
      </c>
      <c r="B65" s="7"/>
      <c r="C65" s="7"/>
    </row>
    <row r="66" spans="1:3" s="16" customFormat="1" ht="21.9" hidden="1" customHeight="1" outlineLevel="1" x14ac:dyDescent="0.3">
      <c r="A66" s="8" t="s">
        <v>94</v>
      </c>
      <c r="B66" s="8" t="s">
        <v>17</v>
      </c>
      <c r="C66" s="8">
        <v>215.19</v>
      </c>
    </row>
    <row r="67" spans="1:3" s="16" customFormat="1" ht="21.9" hidden="1" customHeight="1" outlineLevel="1" x14ac:dyDescent="0.3">
      <c r="A67" s="8" t="s">
        <v>95</v>
      </c>
      <c r="B67" s="8" t="s">
        <v>17</v>
      </c>
      <c r="C67" s="8">
        <v>107.08</v>
      </c>
    </row>
    <row r="68" spans="1:3" s="16" customFormat="1" ht="21.9" hidden="1" customHeight="1" outlineLevel="1" x14ac:dyDescent="0.3">
      <c r="A68" s="8" t="s">
        <v>96</v>
      </c>
      <c r="B68" s="8" t="s">
        <v>17</v>
      </c>
      <c r="C68" s="8">
        <v>9.69</v>
      </c>
    </row>
    <row r="69" spans="1:3" s="16" customFormat="1" ht="21.9" hidden="1" customHeight="1" outlineLevel="1" x14ac:dyDescent="0.3">
      <c r="A69" s="8" t="s">
        <v>97</v>
      </c>
      <c r="B69" s="8" t="s">
        <v>17</v>
      </c>
      <c r="C69" s="8">
        <v>21.35</v>
      </c>
    </row>
    <row r="70" spans="1:3" s="16" customFormat="1" ht="21.9" hidden="1" customHeight="1" outlineLevel="1" x14ac:dyDescent="0.3">
      <c r="A70" s="8" t="s">
        <v>98</v>
      </c>
      <c r="B70" s="8" t="s">
        <v>17</v>
      </c>
      <c r="C70" s="8">
        <v>4.0199999999999996</v>
      </c>
    </row>
    <row r="71" spans="1:3" s="16" customFormat="1" ht="21.9" hidden="1" customHeight="1" outlineLevel="1" x14ac:dyDescent="0.3">
      <c r="A71" s="8" t="s">
        <v>99</v>
      </c>
      <c r="B71" s="8" t="s">
        <v>17</v>
      </c>
      <c r="C71" s="8">
        <v>9.75</v>
      </c>
    </row>
    <row r="72" spans="1:3" s="16" customFormat="1" ht="21.9" hidden="1" customHeight="1" outlineLevel="1" x14ac:dyDescent="0.3">
      <c r="A72" s="8" t="s">
        <v>100</v>
      </c>
      <c r="B72" s="8" t="s">
        <v>17</v>
      </c>
      <c r="C72" s="8">
        <v>119.76</v>
      </c>
    </row>
    <row r="73" spans="1:3" s="16" customFormat="1" ht="21.9" hidden="1" customHeight="1" outlineLevel="1" x14ac:dyDescent="0.3">
      <c r="A73" s="7" t="s">
        <v>109</v>
      </c>
      <c r="B73" s="7"/>
      <c r="C73" s="7"/>
    </row>
    <row r="74" spans="1:3" s="16" customFormat="1" ht="21.9" hidden="1" customHeight="1" outlineLevel="1" x14ac:dyDescent="0.3">
      <c r="A74" s="8" t="s">
        <v>94</v>
      </c>
      <c r="B74" s="8" t="s">
        <v>17</v>
      </c>
      <c r="C74" s="8">
        <v>88.87</v>
      </c>
    </row>
    <row r="75" spans="1:3" s="16" customFormat="1" ht="21.9" hidden="1" customHeight="1" outlineLevel="1" x14ac:dyDescent="0.3">
      <c r="A75" s="8" t="s">
        <v>95</v>
      </c>
      <c r="B75" s="8" t="s">
        <v>17</v>
      </c>
      <c r="C75" s="8">
        <v>77.05</v>
      </c>
    </row>
    <row r="76" spans="1:3" s="16" customFormat="1" ht="21.9" hidden="1" customHeight="1" outlineLevel="1" x14ac:dyDescent="0.3">
      <c r="A76" s="8" t="s">
        <v>99</v>
      </c>
      <c r="B76" s="8" t="s">
        <v>17</v>
      </c>
      <c r="C76" s="8">
        <v>25.24</v>
      </c>
    </row>
    <row r="77" spans="1:3" s="16" customFormat="1" ht="21.9" hidden="1" customHeight="1" outlineLevel="1" x14ac:dyDescent="0.3">
      <c r="A77" s="8" t="s">
        <v>100</v>
      </c>
      <c r="B77" s="8" t="s">
        <v>17</v>
      </c>
      <c r="C77" s="8">
        <v>205.06</v>
      </c>
    </row>
    <row r="78" spans="1:3" s="16" customFormat="1" ht="21.9" hidden="1" customHeight="1" outlineLevel="1" x14ac:dyDescent="0.3">
      <c r="A78" s="7" t="s">
        <v>110</v>
      </c>
      <c r="B78" s="7"/>
      <c r="C78" s="7"/>
    </row>
    <row r="79" spans="1:3" s="16" customFormat="1" ht="21.9" hidden="1" customHeight="1" outlineLevel="1" x14ac:dyDescent="0.3">
      <c r="A79" s="8" t="s">
        <v>94</v>
      </c>
      <c r="B79" s="8" t="s">
        <v>17</v>
      </c>
      <c r="C79" s="8">
        <v>5.71</v>
      </c>
    </row>
    <row r="80" spans="1:3" s="16" customFormat="1" ht="21.9" hidden="1" customHeight="1" outlineLevel="1" x14ac:dyDescent="0.3">
      <c r="A80" s="8" t="s">
        <v>111</v>
      </c>
      <c r="B80" s="8" t="s">
        <v>17</v>
      </c>
      <c r="C80" s="8">
        <v>2.2999999999999998</v>
      </c>
    </row>
    <row r="81" spans="1:3" s="16" customFormat="1" ht="21.9" hidden="1" customHeight="1" outlineLevel="1" x14ac:dyDescent="0.3">
      <c r="A81" s="8" t="s">
        <v>100</v>
      </c>
      <c r="B81" s="8" t="s">
        <v>17</v>
      </c>
      <c r="C81" s="8">
        <v>2.2999999999999998</v>
      </c>
    </row>
    <row r="82" spans="1:3" ht="21.9" hidden="1" customHeight="1" outlineLevel="1" x14ac:dyDescent="0.3">
      <c r="A82" s="7" t="s">
        <v>32</v>
      </c>
      <c r="B82" s="10"/>
      <c r="C82" s="11">
        <f>SUM(C83:C88)</f>
        <v>48.160000000000004</v>
      </c>
    </row>
    <row r="83" spans="1:3" ht="21.9" hidden="1" customHeight="1" outlineLevel="1" x14ac:dyDescent="0.3">
      <c r="A83" s="8" t="s">
        <v>23</v>
      </c>
      <c r="B83" s="12" t="s">
        <v>17</v>
      </c>
      <c r="C83" s="13">
        <v>8.56</v>
      </c>
    </row>
    <row r="84" spans="1:3" ht="21.9" hidden="1" customHeight="1" outlineLevel="1" x14ac:dyDescent="0.3">
      <c r="A84" s="8" t="s">
        <v>24</v>
      </c>
      <c r="B84" s="12" t="s">
        <v>17</v>
      </c>
      <c r="C84" s="13">
        <v>8.56</v>
      </c>
    </row>
    <row r="85" spans="1:3" ht="21.9" hidden="1" customHeight="1" outlineLevel="1" x14ac:dyDescent="0.3">
      <c r="A85" s="8" t="s">
        <v>25</v>
      </c>
      <c r="B85" s="12" t="s">
        <v>17</v>
      </c>
      <c r="C85" s="13">
        <v>8.56</v>
      </c>
    </row>
    <row r="86" spans="1:3" ht="21.9" hidden="1" customHeight="1" outlineLevel="1" x14ac:dyDescent="0.3">
      <c r="A86" s="8" t="s">
        <v>26</v>
      </c>
      <c r="B86" s="12" t="s">
        <v>17</v>
      </c>
      <c r="C86" s="13">
        <v>8.56</v>
      </c>
    </row>
    <row r="87" spans="1:3" ht="21.9" hidden="1" customHeight="1" outlineLevel="1" x14ac:dyDescent="0.3">
      <c r="A87" s="8" t="s">
        <v>27</v>
      </c>
      <c r="B87" s="12" t="s">
        <v>17</v>
      </c>
      <c r="C87" s="13">
        <v>4.96</v>
      </c>
    </row>
    <row r="88" spans="1:3" ht="21.9" hidden="1" customHeight="1" outlineLevel="1" x14ac:dyDescent="0.3">
      <c r="A88" s="8" t="s">
        <v>28</v>
      </c>
      <c r="B88" s="12" t="s">
        <v>17</v>
      </c>
      <c r="C88" s="13">
        <v>8.9600000000000009</v>
      </c>
    </row>
    <row r="89" spans="1:3" ht="21.9" hidden="1" customHeight="1" outlineLevel="1" x14ac:dyDescent="0.3">
      <c r="A89" s="7" t="s">
        <v>33</v>
      </c>
      <c r="B89" s="10"/>
      <c r="C89" s="11">
        <f>SUM(C90)</f>
        <v>3</v>
      </c>
    </row>
    <row r="90" spans="1:3" ht="21.9" hidden="1" customHeight="1" outlineLevel="1" x14ac:dyDescent="0.3">
      <c r="A90" s="8" t="s">
        <v>30</v>
      </c>
      <c r="B90" s="12" t="s">
        <v>3</v>
      </c>
      <c r="C90" s="13">
        <v>3</v>
      </c>
    </row>
    <row r="91" spans="1:3" ht="21.9" hidden="1" customHeight="1" outlineLevel="1" x14ac:dyDescent="0.3">
      <c r="A91" s="7" t="s">
        <v>34</v>
      </c>
      <c r="B91" s="10"/>
      <c r="C91" s="11">
        <f>SUM(C92:C97)</f>
        <v>16</v>
      </c>
    </row>
    <row r="92" spans="1:3" ht="21.9" hidden="1" customHeight="1" outlineLevel="1" x14ac:dyDescent="0.3">
      <c r="A92" s="8" t="s">
        <v>23</v>
      </c>
      <c r="B92" s="12" t="s">
        <v>3</v>
      </c>
      <c r="C92" s="13">
        <v>3</v>
      </c>
    </row>
    <row r="93" spans="1:3" ht="21.9" hidden="1" customHeight="1" outlineLevel="1" x14ac:dyDescent="0.3">
      <c r="A93" s="8" t="s">
        <v>24</v>
      </c>
      <c r="B93" s="12" t="s">
        <v>3</v>
      </c>
      <c r="C93" s="13">
        <v>3</v>
      </c>
    </row>
    <row r="94" spans="1:3" ht="21.9" hidden="1" customHeight="1" outlineLevel="1" x14ac:dyDescent="0.3">
      <c r="A94" s="8" t="s">
        <v>25</v>
      </c>
      <c r="B94" s="12" t="s">
        <v>3</v>
      </c>
      <c r="C94" s="13">
        <v>3</v>
      </c>
    </row>
    <row r="95" spans="1:3" ht="21.9" hidden="1" customHeight="1" outlineLevel="1" x14ac:dyDescent="0.3">
      <c r="A95" s="8" t="s">
        <v>26</v>
      </c>
      <c r="B95" s="12" t="s">
        <v>3</v>
      </c>
      <c r="C95" s="13">
        <v>3</v>
      </c>
    </row>
    <row r="96" spans="1:3" ht="21.9" hidden="1" customHeight="1" outlineLevel="1" x14ac:dyDescent="0.3">
      <c r="A96" s="8" t="s">
        <v>27</v>
      </c>
      <c r="B96" s="12" t="s">
        <v>3</v>
      </c>
      <c r="C96" s="13">
        <v>3</v>
      </c>
    </row>
    <row r="97" spans="1:3" ht="21.9" hidden="1" customHeight="1" outlineLevel="1" x14ac:dyDescent="0.3">
      <c r="A97" s="8" t="s">
        <v>28</v>
      </c>
      <c r="B97" s="12" t="s">
        <v>3</v>
      </c>
      <c r="C97" s="13">
        <v>1</v>
      </c>
    </row>
    <row r="98" spans="1:3" ht="21.9" hidden="1" customHeight="1" outlineLevel="1" x14ac:dyDescent="0.3">
      <c r="A98" s="7" t="s">
        <v>35</v>
      </c>
      <c r="B98" s="10"/>
      <c r="C98" s="11">
        <f>SUM(C99:C104)</f>
        <v>28</v>
      </c>
    </row>
    <row r="99" spans="1:3" ht="21.9" hidden="1" customHeight="1" outlineLevel="1" x14ac:dyDescent="0.3">
      <c r="A99" s="8" t="s">
        <v>23</v>
      </c>
      <c r="B99" s="12" t="s">
        <v>3</v>
      </c>
      <c r="C99" s="13">
        <v>5</v>
      </c>
    </row>
    <row r="100" spans="1:3" ht="21.9" hidden="1" customHeight="1" outlineLevel="1" x14ac:dyDescent="0.3">
      <c r="A100" s="8" t="s">
        <v>24</v>
      </c>
      <c r="B100" s="12" t="s">
        <v>3</v>
      </c>
      <c r="C100" s="13">
        <v>5</v>
      </c>
    </row>
    <row r="101" spans="1:3" ht="21.9" hidden="1" customHeight="1" outlineLevel="1" x14ac:dyDescent="0.3">
      <c r="A101" s="8" t="s">
        <v>25</v>
      </c>
      <c r="B101" s="12" t="s">
        <v>3</v>
      </c>
      <c r="C101" s="13">
        <v>5</v>
      </c>
    </row>
    <row r="102" spans="1:3" ht="21.9" hidden="1" customHeight="1" outlineLevel="1" x14ac:dyDescent="0.3">
      <c r="A102" s="8" t="s">
        <v>26</v>
      </c>
      <c r="B102" s="12" t="s">
        <v>3</v>
      </c>
      <c r="C102" s="13">
        <v>5</v>
      </c>
    </row>
    <row r="103" spans="1:3" ht="21.9" hidden="1" customHeight="1" outlineLevel="1" x14ac:dyDescent="0.3">
      <c r="A103" s="8" t="s">
        <v>27</v>
      </c>
      <c r="B103" s="12" t="s">
        <v>3</v>
      </c>
      <c r="C103" s="13">
        <v>3</v>
      </c>
    </row>
    <row r="104" spans="1:3" ht="21.9" hidden="1" customHeight="1" outlineLevel="1" x14ac:dyDescent="0.3">
      <c r="A104" s="8" t="s">
        <v>28</v>
      </c>
      <c r="B104" s="12" t="s">
        <v>3</v>
      </c>
      <c r="C104" s="13">
        <v>5</v>
      </c>
    </row>
    <row r="105" spans="1:3" ht="21.9" customHeight="1" collapsed="1" x14ac:dyDescent="0.3">
      <c r="A105" s="22" t="s">
        <v>36</v>
      </c>
      <c r="B105" s="22"/>
      <c r="C105" s="22"/>
    </row>
    <row r="106" spans="1:3" ht="21.9" hidden="1" customHeight="1" outlineLevel="1" x14ac:dyDescent="0.3">
      <c r="A106" s="7" t="s">
        <v>101</v>
      </c>
      <c r="B106" s="10"/>
      <c r="C106" s="11"/>
    </row>
    <row r="107" spans="1:3" ht="21.9" hidden="1" customHeight="1" outlineLevel="1" x14ac:dyDescent="0.3">
      <c r="A107" s="8" t="s">
        <v>112</v>
      </c>
      <c r="B107" s="8" t="s">
        <v>17</v>
      </c>
      <c r="C107" s="8">
        <v>5.09</v>
      </c>
    </row>
    <row r="108" spans="1:3" s="17" customFormat="1" ht="21.9" hidden="1" customHeight="1" outlineLevel="1" x14ac:dyDescent="0.3">
      <c r="A108" s="7" t="s">
        <v>103</v>
      </c>
      <c r="B108" s="10"/>
      <c r="C108" s="11"/>
    </row>
    <row r="109" spans="1:3" ht="21.9" hidden="1" customHeight="1" outlineLevel="1" x14ac:dyDescent="0.3">
      <c r="A109" s="8" t="s">
        <v>113</v>
      </c>
      <c r="B109" s="8" t="s">
        <v>17</v>
      </c>
      <c r="C109" s="8">
        <v>111.3</v>
      </c>
    </row>
    <row r="110" spans="1:3" ht="21.9" hidden="1" customHeight="1" outlineLevel="1" x14ac:dyDescent="0.3">
      <c r="A110" s="8" t="s">
        <v>114</v>
      </c>
      <c r="B110" s="8" t="s">
        <v>17</v>
      </c>
      <c r="C110" s="8">
        <v>76.180000000000007</v>
      </c>
    </row>
    <row r="111" spans="1:3" ht="21.9" hidden="1" customHeight="1" outlineLevel="1" x14ac:dyDescent="0.3">
      <c r="A111" s="8" t="s">
        <v>112</v>
      </c>
      <c r="B111" s="8" t="s">
        <v>17</v>
      </c>
      <c r="C111" s="8">
        <v>70.37</v>
      </c>
    </row>
    <row r="112" spans="1:3" ht="21.9" hidden="1" customHeight="1" outlineLevel="1" x14ac:dyDescent="0.3">
      <c r="A112" s="8" t="s">
        <v>115</v>
      </c>
      <c r="B112" s="8" t="s">
        <v>17</v>
      </c>
      <c r="C112" s="8">
        <v>112.2</v>
      </c>
    </row>
    <row r="113" spans="1:3" ht="21.9" hidden="1" customHeight="1" outlineLevel="1" x14ac:dyDescent="0.3">
      <c r="A113" s="8" t="s">
        <v>116</v>
      </c>
      <c r="B113" s="8" t="s">
        <v>17</v>
      </c>
      <c r="C113" s="8">
        <v>104.68</v>
      </c>
    </row>
    <row r="114" spans="1:3" ht="21.9" hidden="1" customHeight="1" outlineLevel="1" x14ac:dyDescent="0.3">
      <c r="A114" s="7" t="s">
        <v>104</v>
      </c>
      <c r="B114" s="10"/>
      <c r="C114" s="11"/>
    </row>
    <row r="115" spans="1:3" ht="21.9" hidden="1" customHeight="1" outlineLevel="1" x14ac:dyDescent="0.3">
      <c r="A115" s="8" t="s">
        <v>113</v>
      </c>
      <c r="B115" s="8" t="s">
        <v>17</v>
      </c>
      <c r="C115" s="8">
        <v>121.71</v>
      </c>
    </row>
    <row r="116" spans="1:3" ht="21.9" hidden="1" customHeight="1" outlineLevel="1" x14ac:dyDescent="0.3">
      <c r="A116" s="8" t="s">
        <v>114</v>
      </c>
      <c r="B116" s="8" t="s">
        <v>17</v>
      </c>
      <c r="C116" s="8">
        <v>84.14</v>
      </c>
    </row>
    <row r="117" spans="1:3" ht="21.9" hidden="1" customHeight="1" outlineLevel="1" x14ac:dyDescent="0.3">
      <c r="A117" s="8" t="s">
        <v>112</v>
      </c>
      <c r="B117" s="8" t="s">
        <v>17</v>
      </c>
      <c r="C117" s="8">
        <v>60.26</v>
      </c>
    </row>
    <row r="118" spans="1:3" ht="21.9" hidden="1" customHeight="1" outlineLevel="1" x14ac:dyDescent="0.3">
      <c r="A118" s="8" t="s">
        <v>115</v>
      </c>
      <c r="B118" s="8" t="s">
        <v>17</v>
      </c>
      <c r="C118" s="8">
        <v>134.11000000000001</v>
      </c>
    </row>
    <row r="119" spans="1:3" ht="21.9" hidden="1" customHeight="1" outlineLevel="1" x14ac:dyDescent="0.3">
      <c r="A119" s="8" t="s">
        <v>116</v>
      </c>
      <c r="B119" s="8" t="s">
        <v>17</v>
      </c>
      <c r="C119" s="8">
        <v>115.71</v>
      </c>
    </row>
    <row r="120" spans="1:3" ht="21.9" hidden="1" customHeight="1" outlineLevel="1" x14ac:dyDescent="0.3">
      <c r="A120" s="7" t="s">
        <v>105</v>
      </c>
      <c r="B120" s="10"/>
      <c r="C120" s="11"/>
    </row>
    <row r="121" spans="1:3" ht="21.9" hidden="1" customHeight="1" outlineLevel="1" x14ac:dyDescent="0.3">
      <c r="A121" s="8" t="s">
        <v>113</v>
      </c>
      <c r="B121" s="8" t="s">
        <v>17</v>
      </c>
      <c r="C121" s="8">
        <v>125.29</v>
      </c>
    </row>
    <row r="122" spans="1:3" ht="21.9" hidden="1" customHeight="1" outlineLevel="1" x14ac:dyDescent="0.3">
      <c r="A122" s="8" t="s">
        <v>114</v>
      </c>
      <c r="B122" s="8" t="s">
        <v>17</v>
      </c>
      <c r="C122" s="8">
        <v>84.07</v>
      </c>
    </row>
    <row r="123" spans="1:3" ht="21.9" hidden="1" customHeight="1" outlineLevel="1" x14ac:dyDescent="0.3">
      <c r="A123" s="8" t="s">
        <v>112</v>
      </c>
      <c r="B123" s="8" t="s">
        <v>17</v>
      </c>
      <c r="C123" s="8">
        <v>60.36</v>
      </c>
    </row>
    <row r="124" spans="1:3" ht="21.9" hidden="1" customHeight="1" outlineLevel="1" x14ac:dyDescent="0.3">
      <c r="A124" s="8" t="s">
        <v>115</v>
      </c>
      <c r="B124" s="8" t="s">
        <v>17</v>
      </c>
      <c r="C124" s="8">
        <v>138.37</v>
      </c>
    </row>
    <row r="125" spans="1:3" ht="21.9" hidden="1" customHeight="1" outlineLevel="1" x14ac:dyDescent="0.3">
      <c r="A125" s="8" t="s">
        <v>116</v>
      </c>
      <c r="B125" s="8" t="s">
        <v>17</v>
      </c>
      <c r="C125" s="8">
        <v>120.02</v>
      </c>
    </row>
    <row r="126" spans="1:3" ht="21.9" hidden="1" customHeight="1" outlineLevel="1" x14ac:dyDescent="0.3">
      <c r="A126" s="7" t="s">
        <v>106</v>
      </c>
      <c r="B126" s="10"/>
      <c r="C126" s="11"/>
    </row>
    <row r="127" spans="1:3" ht="21.9" hidden="1" customHeight="1" outlineLevel="1" x14ac:dyDescent="0.3">
      <c r="A127" s="8" t="s">
        <v>113</v>
      </c>
      <c r="B127" s="8" t="s">
        <v>17</v>
      </c>
      <c r="C127" s="8">
        <v>103.91</v>
      </c>
    </row>
    <row r="128" spans="1:3" ht="21.9" hidden="1" customHeight="1" outlineLevel="1" x14ac:dyDescent="0.3">
      <c r="A128" s="8" t="s">
        <v>114</v>
      </c>
      <c r="B128" s="8" t="s">
        <v>17</v>
      </c>
      <c r="C128" s="8">
        <v>94.66</v>
      </c>
    </row>
    <row r="129" spans="1:3" ht="21.9" hidden="1" customHeight="1" outlineLevel="1" x14ac:dyDescent="0.3">
      <c r="A129" s="8" t="s">
        <v>112</v>
      </c>
      <c r="B129" s="8" t="s">
        <v>17</v>
      </c>
      <c r="C129" s="8">
        <v>62.69</v>
      </c>
    </row>
    <row r="130" spans="1:3" ht="21.9" hidden="1" customHeight="1" outlineLevel="1" x14ac:dyDescent="0.3">
      <c r="A130" s="8" t="s">
        <v>115</v>
      </c>
      <c r="B130" s="8" t="s">
        <v>17</v>
      </c>
      <c r="C130" s="8">
        <v>109.76</v>
      </c>
    </row>
    <row r="131" spans="1:3" ht="21.9" hidden="1" customHeight="1" outlineLevel="1" x14ac:dyDescent="0.3">
      <c r="A131" s="8" t="s">
        <v>116</v>
      </c>
      <c r="B131" s="8" t="s">
        <v>17</v>
      </c>
      <c r="C131" s="8">
        <v>89.78</v>
      </c>
    </row>
    <row r="132" spans="1:3" ht="21.9" hidden="1" customHeight="1" outlineLevel="1" x14ac:dyDescent="0.3">
      <c r="A132" s="7" t="s">
        <v>107</v>
      </c>
      <c r="B132" s="7"/>
      <c r="C132" s="7"/>
    </row>
    <row r="133" spans="1:3" ht="21.9" hidden="1" customHeight="1" outlineLevel="1" x14ac:dyDescent="0.3">
      <c r="A133" s="8" t="s">
        <v>113</v>
      </c>
      <c r="B133" s="8" t="s">
        <v>17</v>
      </c>
      <c r="C133" s="8">
        <v>114.9</v>
      </c>
    </row>
    <row r="134" spans="1:3" ht="21.9" hidden="1" customHeight="1" outlineLevel="1" x14ac:dyDescent="0.3">
      <c r="A134" s="8" t="s">
        <v>114</v>
      </c>
      <c r="B134" s="8" t="s">
        <v>17</v>
      </c>
      <c r="C134" s="8">
        <v>101.48</v>
      </c>
    </row>
    <row r="135" spans="1:3" ht="21.9" hidden="1" customHeight="1" outlineLevel="1" x14ac:dyDescent="0.3">
      <c r="A135" s="8" t="s">
        <v>112</v>
      </c>
      <c r="B135" s="8" t="s">
        <v>17</v>
      </c>
      <c r="C135" s="8">
        <v>48.69</v>
      </c>
    </row>
    <row r="136" spans="1:3" ht="21.9" hidden="1" customHeight="1" outlineLevel="1" x14ac:dyDescent="0.3">
      <c r="A136" s="8" t="s">
        <v>115</v>
      </c>
      <c r="B136" s="8" t="s">
        <v>17</v>
      </c>
      <c r="C136" s="8">
        <v>91.9</v>
      </c>
    </row>
    <row r="137" spans="1:3" ht="21.9" hidden="1" customHeight="1" outlineLevel="1" x14ac:dyDescent="0.3">
      <c r="A137" s="8" t="s">
        <v>116</v>
      </c>
      <c r="B137" s="8" t="s">
        <v>17</v>
      </c>
      <c r="C137" s="8">
        <v>94.13</v>
      </c>
    </row>
    <row r="138" spans="1:3" ht="21.9" hidden="1" customHeight="1" outlineLevel="1" x14ac:dyDescent="0.3">
      <c r="A138" s="7" t="s">
        <v>108</v>
      </c>
      <c r="B138" s="7"/>
      <c r="C138" s="7"/>
    </row>
    <row r="139" spans="1:3" ht="21.9" hidden="1" customHeight="1" outlineLevel="1" x14ac:dyDescent="0.3">
      <c r="A139" s="8" t="s">
        <v>113</v>
      </c>
      <c r="B139" s="8" t="s">
        <v>17</v>
      </c>
      <c r="C139" s="8">
        <v>104.44</v>
      </c>
    </row>
    <row r="140" spans="1:3" ht="21.9" hidden="1" customHeight="1" outlineLevel="1" x14ac:dyDescent="0.3">
      <c r="A140" s="8" t="s">
        <v>114</v>
      </c>
      <c r="B140" s="8" t="s">
        <v>17</v>
      </c>
      <c r="C140" s="8">
        <v>81.58</v>
      </c>
    </row>
    <row r="141" spans="1:3" ht="21.9" hidden="1" customHeight="1" outlineLevel="1" x14ac:dyDescent="0.3">
      <c r="A141" s="8" t="s">
        <v>112</v>
      </c>
      <c r="B141" s="8" t="s">
        <v>17</v>
      </c>
      <c r="C141" s="8">
        <v>27.59</v>
      </c>
    </row>
    <row r="142" spans="1:3" ht="21.9" hidden="1" customHeight="1" outlineLevel="1" x14ac:dyDescent="0.3">
      <c r="A142" s="8" t="s">
        <v>115</v>
      </c>
      <c r="B142" s="8" t="s">
        <v>17</v>
      </c>
      <c r="C142" s="8">
        <v>98.36</v>
      </c>
    </row>
    <row r="143" spans="1:3" ht="21.9" hidden="1" customHeight="1" outlineLevel="1" x14ac:dyDescent="0.3">
      <c r="A143" s="8" t="s">
        <v>116</v>
      </c>
      <c r="B143" s="8" t="s">
        <v>17</v>
      </c>
      <c r="C143" s="8">
        <v>98.6</v>
      </c>
    </row>
    <row r="144" spans="1:3" ht="21.9" hidden="1" customHeight="1" outlineLevel="1" x14ac:dyDescent="0.3">
      <c r="A144" s="7" t="s">
        <v>109</v>
      </c>
      <c r="B144" s="7"/>
      <c r="C144" s="7"/>
    </row>
    <row r="145" spans="1:3" ht="21.9" hidden="1" customHeight="1" outlineLevel="1" x14ac:dyDescent="0.3">
      <c r="A145" s="8" t="s">
        <v>113</v>
      </c>
      <c r="B145" s="8" t="s">
        <v>17</v>
      </c>
      <c r="C145" s="8">
        <v>151.71</v>
      </c>
    </row>
    <row r="146" spans="1:3" ht="21.9" hidden="1" customHeight="1" outlineLevel="1" x14ac:dyDescent="0.3">
      <c r="A146" s="8" t="s">
        <v>114</v>
      </c>
      <c r="B146" s="8" t="s">
        <v>17</v>
      </c>
      <c r="C146" s="8">
        <v>101.35</v>
      </c>
    </row>
    <row r="147" spans="1:3" ht="21.9" hidden="1" customHeight="1" outlineLevel="1" x14ac:dyDescent="0.3">
      <c r="A147" s="8" t="s">
        <v>112</v>
      </c>
      <c r="B147" s="8" t="s">
        <v>17</v>
      </c>
      <c r="C147" s="8">
        <v>21.45</v>
      </c>
    </row>
    <row r="148" spans="1:3" ht="21.9" hidden="1" customHeight="1" outlineLevel="1" x14ac:dyDescent="0.3">
      <c r="A148" s="8" t="s">
        <v>115</v>
      </c>
      <c r="B148" s="8" t="s">
        <v>17</v>
      </c>
      <c r="C148" s="8">
        <v>34.22</v>
      </c>
    </row>
    <row r="149" spans="1:3" ht="21.9" hidden="1" customHeight="1" outlineLevel="1" x14ac:dyDescent="0.3">
      <c r="A149" s="8" t="s">
        <v>116</v>
      </c>
      <c r="B149" s="8" t="s">
        <v>17</v>
      </c>
      <c r="C149" s="8">
        <v>55.79</v>
      </c>
    </row>
    <row r="150" spans="1:3" ht="21.9" hidden="1" customHeight="1" outlineLevel="1" x14ac:dyDescent="0.3">
      <c r="A150" s="7" t="s">
        <v>37</v>
      </c>
      <c r="B150" s="10"/>
      <c r="C150" s="11">
        <f>SUM(C151:C157)</f>
        <v>427.91999999999996</v>
      </c>
    </row>
    <row r="151" spans="1:3" ht="21.9" hidden="1" customHeight="1" outlineLevel="1" x14ac:dyDescent="0.3">
      <c r="A151" s="8" t="s">
        <v>23</v>
      </c>
      <c r="B151" s="12" t="s">
        <v>17</v>
      </c>
      <c r="C151" s="13">
        <v>116.07</v>
      </c>
    </row>
    <row r="152" spans="1:3" ht="21.9" hidden="1" customHeight="1" outlineLevel="1" x14ac:dyDescent="0.3">
      <c r="A152" s="8" t="s">
        <v>24</v>
      </c>
      <c r="B152" s="12" t="s">
        <v>17</v>
      </c>
      <c r="C152" s="13">
        <v>45.39</v>
      </c>
    </row>
    <row r="153" spans="1:3" ht="21.9" hidden="1" customHeight="1" outlineLevel="1" x14ac:dyDescent="0.3">
      <c r="A153" s="8" t="s">
        <v>25</v>
      </c>
      <c r="B153" s="12" t="s">
        <v>17</v>
      </c>
      <c r="C153" s="13">
        <v>44.34</v>
      </c>
    </row>
    <row r="154" spans="1:3" ht="21.9" hidden="1" customHeight="1" outlineLevel="1" x14ac:dyDescent="0.3">
      <c r="A154" s="8" t="s">
        <v>26</v>
      </c>
      <c r="B154" s="12" t="s">
        <v>17</v>
      </c>
      <c r="C154" s="13">
        <v>46.01</v>
      </c>
    </row>
    <row r="155" spans="1:3" ht="21.9" hidden="1" customHeight="1" outlineLevel="1" x14ac:dyDescent="0.3">
      <c r="A155" s="8" t="s">
        <v>27</v>
      </c>
      <c r="B155" s="12" t="s">
        <v>17</v>
      </c>
      <c r="C155" s="13">
        <v>68.510000000000005</v>
      </c>
    </row>
    <row r="156" spans="1:3" ht="21.9" hidden="1" customHeight="1" outlineLevel="1" x14ac:dyDescent="0.3">
      <c r="A156" s="8" t="s">
        <v>28</v>
      </c>
      <c r="B156" s="12" t="s">
        <v>17</v>
      </c>
      <c r="C156" s="13">
        <v>13.69</v>
      </c>
    </row>
    <row r="157" spans="1:3" ht="21.9" hidden="1" customHeight="1" outlineLevel="1" x14ac:dyDescent="0.3">
      <c r="A157" s="8" t="s">
        <v>29</v>
      </c>
      <c r="B157" s="12" t="s">
        <v>17</v>
      </c>
      <c r="C157" s="13">
        <v>93.91</v>
      </c>
    </row>
    <row r="158" spans="1:3" ht="21.9" hidden="1" customHeight="1" outlineLevel="1" x14ac:dyDescent="0.3">
      <c r="A158" s="7" t="s">
        <v>38</v>
      </c>
      <c r="B158" s="10"/>
      <c r="C158" s="11">
        <f>SUM(C159:C161)</f>
        <v>241.92</v>
      </c>
    </row>
    <row r="159" spans="1:3" ht="21.9" hidden="1" customHeight="1" outlineLevel="1" x14ac:dyDescent="0.3">
      <c r="A159" s="8" t="s">
        <v>23</v>
      </c>
      <c r="B159" s="12" t="s">
        <v>17</v>
      </c>
      <c r="C159" s="13">
        <v>97.97</v>
      </c>
    </row>
    <row r="160" spans="1:3" ht="21.9" hidden="1" customHeight="1" outlineLevel="1" x14ac:dyDescent="0.3">
      <c r="A160" s="8" t="s">
        <v>27</v>
      </c>
      <c r="B160" s="12" t="s">
        <v>17</v>
      </c>
      <c r="C160" s="13">
        <v>50.04</v>
      </c>
    </row>
    <row r="161" spans="1:3" ht="21.9" hidden="1" customHeight="1" outlineLevel="1" x14ac:dyDescent="0.3">
      <c r="A161" s="8" t="s">
        <v>29</v>
      </c>
      <c r="B161" s="12" t="s">
        <v>17</v>
      </c>
      <c r="C161" s="13">
        <v>93.91</v>
      </c>
    </row>
    <row r="162" spans="1:3" ht="21.9" hidden="1" customHeight="1" outlineLevel="1" x14ac:dyDescent="0.3">
      <c r="A162" s="7" t="s">
        <v>39</v>
      </c>
      <c r="B162" s="10"/>
      <c r="C162" s="11">
        <f>SUM(C163)</f>
        <v>60</v>
      </c>
    </row>
    <row r="163" spans="1:3" ht="21.9" hidden="1" customHeight="1" outlineLevel="1" x14ac:dyDescent="0.3">
      <c r="A163" s="8" t="s">
        <v>31</v>
      </c>
      <c r="B163" s="12" t="s">
        <v>17</v>
      </c>
      <c r="C163" s="13">
        <v>60</v>
      </c>
    </row>
    <row r="164" spans="1:3" ht="21.9" hidden="1" customHeight="1" outlineLevel="1" x14ac:dyDescent="0.3">
      <c r="A164" s="7" t="s">
        <v>40</v>
      </c>
      <c r="B164" s="10"/>
      <c r="C164" s="11">
        <f>SUM(C165:C171)</f>
        <v>427.91999999999996</v>
      </c>
    </row>
    <row r="165" spans="1:3" ht="21.9" hidden="1" customHeight="1" outlineLevel="1" x14ac:dyDescent="0.3">
      <c r="A165" s="8" t="s">
        <v>23</v>
      </c>
      <c r="B165" s="12" t="s">
        <v>17</v>
      </c>
      <c r="C165" s="13">
        <v>116.07</v>
      </c>
    </row>
    <row r="166" spans="1:3" ht="21.9" hidden="1" customHeight="1" outlineLevel="1" x14ac:dyDescent="0.3">
      <c r="A166" s="8" t="s">
        <v>24</v>
      </c>
      <c r="B166" s="12" t="s">
        <v>17</v>
      </c>
      <c r="C166" s="13">
        <v>45.39</v>
      </c>
    </row>
    <row r="167" spans="1:3" ht="21.9" hidden="1" customHeight="1" outlineLevel="1" x14ac:dyDescent="0.3">
      <c r="A167" s="8" t="s">
        <v>25</v>
      </c>
      <c r="B167" s="12" t="s">
        <v>17</v>
      </c>
      <c r="C167" s="13">
        <v>44.34</v>
      </c>
    </row>
    <row r="168" spans="1:3" ht="21.9" hidden="1" customHeight="1" outlineLevel="1" x14ac:dyDescent="0.3">
      <c r="A168" s="8" t="s">
        <v>26</v>
      </c>
      <c r="B168" s="12" t="s">
        <v>17</v>
      </c>
      <c r="C168" s="13">
        <v>46.01</v>
      </c>
    </row>
    <row r="169" spans="1:3" ht="21.9" hidden="1" customHeight="1" outlineLevel="1" x14ac:dyDescent="0.3">
      <c r="A169" s="8" t="s">
        <v>27</v>
      </c>
      <c r="B169" s="12" t="s">
        <v>17</v>
      </c>
      <c r="C169" s="13">
        <v>68.510000000000005</v>
      </c>
    </row>
    <row r="170" spans="1:3" ht="21.9" hidden="1" customHeight="1" outlineLevel="1" x14ac:dyDescent="0.3">
      <c r="A170" s="8" t="s">
        <v>28</v>
      </c>
      <c r="B170" s="12" t="s">
        <v>17</v>
      </c>
      <c r="C170" s="13">
        <v>13.69</v>
      </c>
    </row>
    <row r="171" spans="1:3" ht="21.9" hidden="1" customHeight="1" outlineLevel="1" x14ac:dyDescent="0.3">
      <c r="A171" s="8" t="s">
        <v>29</v>
      </c>
      <c r="B171" s="12" t="s">
        <v>17</v>
      </c>
      <c r="C171" s="13">
        <v>93.91</v>
      </c>
    </row>
    <row r="172" spans="1:3" ht="21.9" hidden="1" customHeight="1" outlineLevel="1" x14ac:dyDescent="0.3">
      <c r="A172" s="7" t="s">
        <v>41</v>
      </c>
      <c r="B172" s="10"/>
      <c r="C172" s="11">
        <f>SUM(C173)</f>
        <v>104.4</v>
      </c>
    </row>
    <row r="173" spans="1:3" ht="21.9" hidden="1" customHeight="1" outlineLevel="1" x14ac:dyDescent="0.3">
      <c r="A173" s="8" t="s">
        <v>30</v>
      </c>
      <c r="B173" s="12" t="s">
        <v>17</v>
      </c>
      <c r="C173" s="13">
        <v>104.4</v>
      </c>
    </row>
    <row r="174" spans="1:3" ht="21.9" customHeight="1" collapsed="1" x14ac:dyDescent="0.3">
      <c r="A174" s="22" t="s">
        <v>43</v>
      </c>
      <c r="B174" s="22"/>
      <c r="C174" s="22"/>
    </row>
    <row r="175" spans="1:3" ht="21.9" hidden="1" customHeight="1" outlineLevel="2" x14ac:dyDescent="0.3">
      <c r="A175" s="7" t="s">
        <v>101</v>
      </c>
      <c r="B175" s="10"/>
      <c r="C175" s="11"/>
    </row>
    <row r="176" spans="1:3" ht="21.9" hidden="1" customHeight="1" outlineLevel="2" x14ac:dyDescent="0.3">
      <c r="A176" s="8" t="s">
        <v>44</v>
      </c>
      <c r="B176" s="8" t="s">
        <v>17</v>
      </c>
      <c r="C176" s="8">
        <v>15.7</v>
      </c>
    </row>
    <row r="177" spans="1:3" ht="21.9" hidden="1" customHeight="1" outlineLevel="2" x14ac:dyDescent="0.3">
      <c r="A177" s="8" t="s">
        <v>45</v>
      </c>
      <c r="B177" s="8" t="s">
        <v>17</v>
      </c>
      <c r="C177" s="8">
        <v>15.7</v>
      </c>
    </row>
    <row r="178" spans="1:3" ht="21.9" hidden="1" customHeight="1" outlineLevel="2" x14ac:dyDescent="0.3">
      <c r="A178" s="8" t="s">
        <v>47</v>
      </c>
      <c r="B178" s="8" t="s">
        <v>17</v>
      </c>
      <c r="C178" s="8">
        <v>68.27</v>
      </c>
    </row>
    <row r="179" spans="1:3" ht="21.9" hidden="1" customHeight="1" outlineLevel="2" x14ac:dyDescent="0.3">
      <c r="A179" s="8" t="s">
        <v>117</v>
      </c>
      <c r="B179" s="8" t="s">
        <v>17</v>
      </c>
      <c r="C179" s="8">
        <v>54.27</v>
      </c>
    </row>
    <row r="180" spans="1:3" ht="21.9" hidden="1" customHeight="1" outlineLevel="2" x14ac:dyDescent="0.3">
      <c r="A180" s="7" t="s">
        <v>103</v>
      </c>
      <c r="B180" s="7"/>
      <c r="C180" s="7"/>
    </row>
    <row r="181" spans="1:3" ht="21.9" hidden="1" customHeight="1" outlineLevel="2" x14ac:dyDescent="0.3">
      <c r="A181" s="8" t="s">
        <v>44</v>
      </c>
      <c r="B181" s="8" t="s">
        <v>17</v>
      </c>
      <c r="C181" s="8">
        <v>42.67</v>
      </c>
    </row>
    <row r="182" spans="1:3" ht="21.9" hidden="1" customHeight="1" outlineLevel="2" x14ac:dyDescent="0.3">
      <c r="A182" s="8" t="s">
        <v>45</v>
      </c>
      <c r="B182" s="8" t="s">
        <v>17</v>
      </c>
      <c r="C182" s="8">
        <v>73.849999999999994</v>
      </c>
    </row>
    <row r="183" spans="1:3" ht="21.9" hidden="1" customHeight="1" outlineLevel="2" x14ac:dyDescent="0.3">
      <c r="A183" s="8" t="s">
        <v>46</v>
      </c>
      <c r="B183" s="8" t="s">
        <v>17</v>
      </c>
      <c r="C183" s="8">
        <v>76.14</v>
      </c>
    </row>
    <row r="184" spans="1:3" ht="21.9" hidden="1" customHeight="1" outlineLevel="2" x14ac:dyDescent="0.3">
      <c r="A184" s="8" t="s">
        <v>47</v>
      </c>
      <c r="B184" s="8" t="s">
        <v>17</v>
      </c>
      <c r="C184" s="8">
        <v>66.3</v>
      </c>
    </row>
    <row r="185" spans="1:3" ht="21.9" hidden="1" customHeight="1" outlineLevel="2" x14ac:dyDescent="0.3">
      <c r="A185" s="8" t="s">
        <v>118</v>
      </c>
      <c r="B185" s="8" t="s">
        <v>17</v>
      </c>
      <c r="C185" s="8">
        <v>30.23</v>
      </c>
    </row>
    <row r="186" spans="1:3" ht="21.9" hidden="1" customHeight="1" outlineLevel="2" x14ac:dyDescent="0.3">
      <c r="A186" s="8" t="s">
        <v>117</v>
      </c>
      <c r="B186" s="8" t="s">
        <v>17</v>
      </c>
      <c r="C186" s="8">
        <v>113.52</v>
      </c>
    </row>
    <row r="187" spans="1:3" ht="21.9" hidden="1" customHeight="1" outlineLevel="2" x14ac:dyDescent="0.3">
      <c r="A187" s="8" t="s">
        <v>119</v>
      </c>
      <c r="B187" s="8" t="s">
        <v>17</v>
      </c>
      <c r="C187" s="8">
        <v>7.97</v>
      </c>
    </row>
    <row r="188" spans="1:3" ht="21.9" hidden="1" customHeight="1" outlineLevel="2" x14ac:dyDescent="0.3">
      <c r="A188" s="8" t="s">
        <v>120</v>
      </c>
      <c r="B188" s="8" t="s">
        <v>17</v>
      </c>
      <c r="C188" s="8">
        <v>70.37</v>
      </c>
    </row>
    <row r="189" spans="1:3" ht="21.9" hidden="1" customHeight="1" outlineLevel="2" x14ac:dyDescent="0.3">
      <c r="A189" s="7" t="s">
        <v>104</v>
      </c>
      <c r="B189" s="7"/>
      <c r="C189" s="7"/>
    </row>
    <row r="190" spans="1:3" ht="21.9" hidden="1" customHeight="1" outlineLevel="2" x14ac:dyDescent="0.3">
      <c r="A190" s="8" t="s">
        <v>44</v>
      </c>
      <c r="B190" s="8" t="s">
        <v>17</v>
      </c>
      <c r="C190" s="8">
        <v>39.25</v>
      </c>
    </row>
    <row r="191" spans="1:3" ht="21.9" hidden="1" customHeight="1" outlineLevel="2" x14ac:dyDescent="0.3">
      <c r="A191" s="8" t="s">
        <v>45</v>
      </c>
      <c r="B191" s="8" t="s">
        <v>17</v>
      </c>
      <c r="C191" s="8">
        <v>71.77</v>
      </c>
    </row>
    <row r="192" spans="1:3" ht="21.9" hidden="1" customHeight="1" outlineLevel="2" x14ac:dyDescent="0.3">
      <c r="A192" s="8" t="s">
        <v>46</v>
      </c>
      <c r="B192" s="8" t="s">
        <v>17</v>
      </c>
      <c r="C192" s="8">
        <v>84.14</v>
      </c>
    </row>
    <row r="193" spans="1:3" ht="21.9" hidden="1" customHeight="1" outlineLevel="2" x14ac:dyDescent="0.3">
      <c r="A193" s="8" t="s">
        <v>47</v>
      </c>
      <c r="B193" s="8" t="s">
        <v>17</v>
      </c>
      <c r="C193" s="8">
        <v>62.7</v>
      </c>
    </row>
    <row r="194" spans="1:3" ht="21.9" hidden="1" customHeight="1" outlineLevel="2" x14ac:dyDescent="0.3">
      <c r="A194" s="8" t="s">
        <v>118</v>
      </c>
      <c r="B194" s="8" t="s">
        <v>17</v>
      </c>
      <c r="C194" s="8">
        <v>30.25</v>
      </c>
    </row>
    <row r="195" spans="1:3" ht="21.9" hidden="1" customHeight="1" outlineLevel="2" x14ac:dyDescent="0.3">
      <c r="A195" s="8" t="s">
        <v>117</v>
      </c>
      <c r="B195" s="8" t="s">
        <v>17</v>
      </c>
      <c r="C195" s="8">
        <v>117.38</v>
      </c>
    </row>
    <row r="196" spans="1:3" ht="21.9" hidden="1" customHeight="1" outlineLevel="2" x14ac:dyDescent="0.3">
      <c r="A196" s="8" t="s">
        <v>119</v>
      </c>
      <c r="B196" s="8" t="s">
        <v>17</v>
      </c>
      <c r="C196" s="8">
        <v>7.34</v>
      </c>
    </row>
    <row r="197" spans="1:3" ht="21.9" hidden="1" customHeight="1" outlineLevel="2" x14ac:dyDescent="0.3">
      <c r="A197" s="8" t="s">
        <v>120</v>
      </c>
      <c r="B197" s="8" t="s">
        <v>17</v>
      </c>
      <c r="C197" s="8">
        <v>70.28</v>
      </c>
    </row>
    <row r="198" spans="1:3" ht="21.9" hidden="1" customHeight="1" outlineLevel="2" x14ac:dyDescent="0.3">
      <c r="A198" s="7" t="s">
        <v>105</v>
      </c>
      <c r="B198" s="7"/>
      <c r="C198" s="7"/>
    </row>
    <row r="199" spans="1:3" ht="21.9" hidden="1" customHeight="1" outlineLevel="2" x14ac:dyDescent="0.3">
      <c r="A199" s="8" t="s">
        <v>44</v>
      </c>
      <c r="B199" s="8" t="s">
        <v>17</v>
      </c>
      <c r="C199" s="8">
        <v>41.93</v>
      </c>
    </row>
    <row r="200" spans="1:3" ht="21.9" hidden="1" customHeight="1" outlineLevel="2" x14ac:dyDescent="0.3">
      <c r="A200" s="8" t="s">
        <v>45</v>
      </c>
      <c r="B200" s="8" t="s">
        <v>17</v>
      </c>
      <c r="C200" s="8">
        <v>73.83</v>
      </c>
    </row>
    <row r="201" spans="1:3" ht="21.9" hidden="1" customHeight="1" outlineLevel="2" x14ac:dyDescent="0.3">
      <c r="A201" s="8" t="s">
        <v>46</v>
      </c>
      <c r="B201" s="8" t="s">
        <v>17</v>
      </c>
      <c r="C201" s="8">
        <v>84.07</v>
      </c>
    </row>
    <row r="202" spans="1:3" ht="21.9" hidden="1" customHeight="1" outlineLevel="2" x14ac:dyDescent="0.3">
      <c r="A202" s="8" t="s">
        <v>47</v>
      </c>
      <c r="B202" s="8" t="s">
        <v>17</v>
      </c>
      <c r="C202" s="8">
        <v>65.42</v>
      </c>
    </row>
    <row r="203" spans="1:3" ht="21.9" hidden="1" customHeight="1" outlineLevel="2" x14ac:dyDescent="0.3">
      <c r="A203" s="8" t="s">
        <v>118</v>
      </c>
      <c r="B203" s="8" t="s">
        <v>17</v>
      </c>
      <c r="C203" s="8">
        <v>30.41</v>
      </c>
    </row>
    <row r="204" spans="1:3" ht="21.9" hidden="1" customHeight="1" outlineLevel="2" x14ac:dyDescent="0.3">
      <c r="A204" s="8" t="s">
        <v>117</v>
      </c>
      <c r="B204" s="8" t="s">
        <v>17</v>
      </c>
      <c r="C204" s="8">
        <v>119.02</v>
      </c>
    </row>
    <row r="205" spans="1:3" ht="21.9" hidden="1" customHeight="1" outlineLevel="2" x14ac:dyDescent="0.3">
      <c r="A205" s="8" t="s">
        <v>119</v>
      </c>
      <c r="B205" s="8" t="s">
        <v>17</v>
      </c>
      <c r="C205" s="8">
        <v>7.17</v>
      </c>
    </row>
    <row r="206" spans="1:3" ht="21.9" hidden="1" customHeight="1" outlineLevel="2" x14ac:dyDescent="0.3">
      <c r="A206" s="8" t="s">
        <v>120</v>
      </c>
      <c r="B206" s="8" t="s">
        <v>17</v>
      </c>
      <c r="C206" s="8">
        <v>70.37</v>
      </c>
    </row>
    <row r="207" spans="1:3" ht="21.9" hidden="1" customHeight="1" outlineLevel="2" x14ac:dyDescent="0.3">
      <c r="A207" s="7" t="s">
        <v>106</v>
      </c>
      <c r="B207" s="7"/>
      <c r="C207" s="7"/>
    </row>
    <row r="208" spans="1:3" ht="21.9" hidden="1" customHeight="1" outlineLevel="2" x14ac:dyDescent="0.3">
      <c r="A208" s="8" t="s">
        <v>44</v>
      </c>
      <c r="B208" s="8" t="s">
        <v>17</v>
      </c>
      <c r="C208" s="8">
        <v>44.9</v>
      </c>
    </row>
    <row r="209" spans="1:3" ht="21.9" hidden="1" customHeight="1" outlineLevel="2" x14ac:dyDescent="0.3">
      <c r="A209" s="8" t="s">
        <v>45</v>
      </c>
      <c r="B209" s="8" t="s">
        <v>17</v>
      </c>
      <c r="C209" s="8">
        <v>76.98</v>
      </c>
    </row>
    <row r="210" spans="1:3" ht="21.9" hidden="1" customHeight="1" outlineLevel="2" x14ac:dyDescent="0.3">
      <c r="A210" s="8" t="s">
        <v>46</v>
      </c>
      <c r="B210" s="8" t="s">
        <v>17</v>
      </c>
      <c r="C210" s="8">
        <v>94.66</v>
      </c>
    </row>
    <row r="211" spans="1:3" ht="21.9" hidden="1" customHeight="1" outlineLevel="2" x14ac:dyDescent="0.3">
      <c r="A211" s="8" t="s">
        <v>47</v>
      </c>
      <c r="B211" s="8" t="s">
        <v>17</v>
      </c>
      <c r="C211" s="8">
        <v>69.540000000000006</v>
      </c>
    </row>
    <row r="212" spans="1:3" ht="21.9" hidden="1" customHeight="1" outlineLevel="2" x14ac:dyDescent="0.3">
      <c r="A212" s="8" t="s">
        <v>118</v>
      </c>
      <c r="B212" s="8" t="s">
        <v>17</v>
      </c>
      <c r="C212" s="8">
        <v>16.22</v>
      </c>
    </row>
    <row r="213" spans="1:3" ht="21.9" hidden="1" customHeight="1" outlineLevel="2" x14ac:dyDescent="0.3">
      <c r="A213" s="8" t="s">
        <v>117</v>
      </c>
      <c r="B213" s="8" t="s">
        <v>17</v>
      </c>
      <c r="C213" s="8">
        <v>118.1</v>
      </c>
    </row>
    <row r="214" spans="1:3" ht="21.9" hidden="1" customHeight="1" outlineLevel="2" x14ac:dyDescent="0.3">
      <c r="A214" s="8" t="s">
        <v>119</v>
      </c>
      <c r="B214" s="8" t="s">
        <v>17</v>
      </c>
      <c r="C214" s="8">
        <v>7.36</v>
      </c>
    </row>
    <row r="215" spans="1:3" ht="21.9" hidden="1" customHeight="1" outlineLevel="2" x14ac:dyDescent="0.3">
      <c r="A215" s="8" t="s">
        <v>120</v>
      </c>
      <c r="B215" s="8" t="s">
        <v>17</v>
      </c>
      <c r="C215" s="8">
        <v>73.34</v>
      </c>
    </row>
    <row r="216" spans="1:3" ht="21.9" hidden="1" customHeight="1" outlineLevel="2" x14ac:dyDescent="0.3">
      <c r="A216" s="7" t="s">
        <v>107</v>
      </c>
      <c r="B216" s="7"/>
      <c r="C216" s="7"/>
    </row>
    <row r="217" spans="1:3" ht="21.9" hidden="1" customHeight="1" outlineLevel="2" x14ac:dyDescent="0.3">
      <c r="A217" s="8" t="s">
        <v>44</v>
      </c>
      <c r="B217" s="8" t="s">
        <v>17</v>
      </c>
      <c r="C217" s="8">
        <v>57.41</v>
      </c>
    </row>
    <row r="218" spans="1:3" ht="21.9" hidden="1" customHeight="1" outlineLevel="2" x14ac:dyDescent="0.3">
      <c r="A218" s="8" t="s">
        <v>45</v>
      </c>
      <c r="B218" s="8" t="s">
        <v>17</v>
      </c>
      <c r="C218" s="8">
        <v>59.81</v>
      </c>
    </row>
    <row r="219" spans="1:3" ht="21.9" hidden="1" customHeight="1" outlineLevel="2" x14ac:dyDescent="0.3">
      <c r="A219" s="8" t="s">
        <v>46</v>
      </c>
      <c r="B219" s="8" t="s">
        <v>17</v>
      </c>
      <c r="C219" s="8">
        <v>83.69</v>
      </c>
    </row>
    <row r="220" spans="1:3" ht="21.9" hidden="1" customHeight="1" outlineLevel="2" x14ac:dyDescent="0.3">
      <c r="A220" s="8" t="s">
        <v>47</v>
      </c>
      <c r="B220" s="8" t="s">
        <v>17</v>
      </c>
      <c r="C220" s="8">
        <v>37.479999999999997</v>
      </c>
    </row>
    <row r="221" spans="1:3" ht="21.9" hidden="1" customHeight="1" outlineLevel="2" x14ac:dyDescent="0.3">
      <c r="A221" s="8" t="s">
        <v>118</v>
      </c>
      <c r="B221" s="8" t="s">
        <v>17</v>
      </c>
      <c r="C221" s="8">
        <v>22.21</v>
      </c>
    </row>
    <row r="222" spans="1:3" ht="21.9" hidden="1" customHeight="1" outlineLevel="2" x14ac:dyDescent="0.3">
      <c r="A222" s="8" t="s">
        <v>117</v>
      </c>
      <c r="B222" s="8" t="s">
        <v>17</v>
      </c>
      <c r="C222" s="8">
        <v>88.85</v>
      </c>
    </row>
    <row r="223" spans="1:3" ht="21.9" hidden="1" customHeight="1" outlineLevel="2" x14ac:dyDescent="0.3">
      <c r="A223" s="8" t="s">
        <v>119</v>
      </c>
      <c r="B223" s="8" t="s">
        <v>17</v>
      </c>
      <c r="C223" s="8">
        <v>0.69</v>
      </c>
    </row>
    <row r="224" spans="1:3" ht="21.9" hidden="1" customHeight="1" outlineLevel="2" x14ac:dyDescent="0.3">
      <c r="A224" s="8" t="s">
        <v>120</v>
      </c>
      <c r="B224" s="8" t="s">
        <v>17</v>
      </c>
      <c r="C224" s="8">
        <v>48.76</v>
      </c>
    </row>
    <row r="225" spans="1:3" ht="21.9" hidden="1" customHeight="1" outlineLevel="2" x14ac:dyDescent="0.3">
      <c r="A225" s="7" t="s">
        <v>108</v>
      </c>
      <c r="B225" s="7"/>
      <c r="C225" s="7"/>
    </row>
    <row r="226" spans="1:3" ht="21.9" hidden="1" customHeight="1" outlineLevel="2" x14ac:dyDescent="0.3">
      <c r="A226" s="8" t="s">
        <v>44</v>
      </c>
      <c r="B226" s="8" t="s">
        <v>17</v>
      </c>
      <c r="C226" s="8">
        <v>44.96</v>
      </c>
    </row>
    <row r="227" spans="1:3" ht="21.9" hidden="1" customHeight="1" outlineLevel="2" x14ac:dyDescent="0.3">
      <c r="A227" s="8" t="s">
        <v>45</v>
      </c>
      <c r="B227" s="8" t="s">
        <v>17</v>
      </c>
      <c r="C227" s="8">
        <v>69.42</v>
      </c>
    </row>
    <row r="228" spans="1:3" ht="21.9" hidden="1" customHeight="1" outlineLevel="2" x14ac:dyDescent="0.3">
      <c r="A228" s="8" t="s">
        <v>46</v>
      </c>
      <c r="B228" s="8" t="s">
        <v>17</v>
      </c>
      <c r="C228" s="8">
        <v>81.58</v>
      </c>
    </row>
    <row r="229" spans="1:3" ht="21.9" hidden="1" customHeight="1" outlineLevel="2" x14ac:dyDescent="0.3">
      <c r="A229" s="8" t="s">
        <v>47</v>
      </c>
      <c r="B229" s="8" t="s">
        <v>17</v>
      </c>
      <c r="C229" s="8">
        <v>39.56</v>
      </c>
    </row>
    <row r="230" spans="1:3" ht="21.9" hidden="1" customHeight="1" outlineLevel="2" x14ac:dyDescent="0.3">
      <c r="A230" s="8" t="s">
        <v>118</v>
      </c>
      <c r="B230" s="8" t="s">
        <v>17</v>
      </c>
      <c r="C230" s="8">
        <v>22.62</v>
      </c>
    </row>
    <row r="231" spans="1:3" ht="21.9" hidden="1" customHeight="1" outlineLevel="2" x14ac:dyDescent="0.3">
      <c r="A231" s="8" t="s">
        <v>117</v>
      </c>
      <c r="B231" s="8" t="s">
        <v>17</v>
      </c>
      <c r="C231" s="8">
        <v>107.55</v>
      </c>
    </row>
    <row r="232" spans="1:3" ht="21.9" hidden="1" customHeight="1" outlineLevel="2" x14ac:dyDescent="0.3">
      <c r="A232" s="8" t="s">
        <v>119</v>
      </c>
      <c r="B232" s="8" t="s">
        <v>17</v>
      </c>
      <c r="C232" s="8">
        <v>0.43</v>
      </c>
    </row>
    <row r="233" spans="1:3" ht="21.9" hidden="1" customHeight="1" outlineLevel="2" x14ac:dyDescent="0.3">
      <c r="A233" s="8" t="s">
        <v>120</v>
      </c>
      <c r="B233" s="8" t="s">
        <v>17</v>
      </c>
      <c r="C233" s="8">
        <v>27.59</v>
      </c>
    </row>
    <row r="234" spans="1:3" ht="21.9" hidden="1" customHeight="1" outlineLevel="2" x14ac:dyDescent="0.3">
      <c r="A234" s="7" t="s">
        <v>109</v>
      </c>
      <c r="B234" s="7"/>
      <c r="C234" s="7"/>
    </row>
    <row r="235" spans="1:3" ht="21.9" hidden="1" customHeight="1" outlineLevel="2" x14ac:dyDescent="0.3">
      <c r="A235" s="8" t="s">
        <v>44</v>
      </c>
      <c r="B235" s="8" t="s">
        <v>17</v>
      </c>
      <c r="C235" s="8">
        <v>96.86</v>
      </c>
    </row>
    <row r="236" spans="1:3" ht="21.9" hidden="1" customHeight="1" outlineLevel="2" x14ac:dyDescent="0.3">
      <c r="A236" s="8" t="s">
        <v>45</v>
      </c>
      <c r="B236" s="8" t="s">
        <v>17</v>
      </c>
      <c r="C236" s="8">
        <v>8.67</v>
      </c>
    </row>
    <row r="237" spans="1:3" ht="21.9" hidden="1" customHeight="1" outlineLevel="2" x14ac:dyDescent="0.3">
      <c r="A237" s="8" t="s">
        <v>46</v>
      </c>
      <c r="B237" s="8" t="s">
        <v>17</v>
      </c>
      <c r="C237" s="8">
        <v>101.35</v>
      </c>
    </row>
    <row r="238" spans="1:3" ht="21.9" hidden="1" customHeight="1" outlineLevel="2" x14ac:dyDescent="0.3">
      <c r="A238" s="8" t="s">
        <v>47</v>
      </c>
      <c r="B238" s="8" t="s">
        <v>17</v>
      </c>
      <c r="C238" s="8">
        <v>38.94</v>
      </c>
    </row>
    <row r="239" spans="1:3" ht="21.9" hidden="1" customHeight="1" outlineLevel="2" x14ac:dyDescent="0.3">
      <c r="A239" s="8" t="s">
        <v>118</v>
      </c>
      <c r="B239" s="8" t="s">
        <v>17</v>
      </c>
      <c r="C239" s="8">
        <v>30.94</v>
      </c>
    </row>
    <row r="240" spans="1:3" ht="21.9" hidden="1" customHeight="1" outlineLevel="2" x14ac:dyDescent="0.3">
      <c r="A240" s="8" t="s">
        <v>117</v>
      </c>
      <c r="B240" s="8" t="s">
        <v>17</v>
      </c>
      <c r="C240" s="8">
        <v>22.82</v>
      </c>
    </row>
    <row r="241" spans="1:3" ht="21.9" hidden="1" customHeight="1" outlineLevel="2" x14ac:dyDescent="0.3">
      <c r="A241" s="7" t="s">
        <v>110</v>
      </c>
      <c r="B241" s="7"/>
      <c r="C241" s="7"/>
    </row>
    <row r="242" spans="1:3" ht="21.9" hidden="1" customHeight="1" outlineLevel="2" x14ac:dyDescent="0.3">
      <c r="A242" s="8" t="s">
        <v>45</v>
      </c>
      <c r="B242" s="8" t="s">
        <v>17</v>
      </c>
      <c r="C242" s="8">
        <v>2.2999999999999998</v>
      </c>
    </row>
    <row r="243" spans="1:3" ht="21.9" hidden="1" customHeight="1" outlineLevel="2" x14ac:dyDescent="0.3">
      <c r="A243" s="8" t="s">
        <v>118</v>
      </c>
      <c r="B243" s="8" t="s">
        <v>17</v>
      </c>
      <c r="C243" s="8">
        <v>9.1300000000000008</v>
      </c>
    </row>
    <row r="244" spans="1:3" ht="21.9" hidden="1" customHeight="1" outlineLevel="2" x14ac:dyDescent="0.3">
      <c r="A244" s="7" t="s">
        <v>48</v>
      </c>
      <c r="B244" s="10"/>
      <c r="C244" s="11">
        <f>SUM(C245:C254)</f>
        <v>115</v>
      </c>
    </row>
    <row r="245" spans="1:3" ht="21.9" hidden="1" customHeight="1" outlineLevel="2" x14ac:dyDescent="0.3">
      <c r="A245" s="8" t="s">
        <v>49</v>
      </c>
      <c r="B245" s="12" t="s">
        <v>3</v>
      </c>
      <c r="C245" s="13">
        <v>1</v>
      </c>
    </row>
    <row r="246" spans="1:3" ht="21.9" hidden="1" customHeight="1" outlineLevel="2" x14ac:dyDescent="0.3">
      <c r="A246" s="8" t="s">
        <v>30</v>
      </c>
      <c r="B246" s="12" t="s">
        <v>3</v>
      </c>
      <c r="C246" s="13">
        <v>4</v>
      </c>
    </row>
    <row r="247" spans="1:3" ht="21.9" hidden="1" customHeight="1" outlineLevel="2" x14ac:dyDescent="0.3">
      <c r="A247" s="8" t="s">
        <v>23</v>
      </c>
      <c r="B247" s="12" t="s">
        <v>3</v>
      </c>
      <c r="C247" s="13">
        <v>19</v>
      </c>
    </row>
    <row r="248" spans="1:3" ht="21.9" hidden="1" customHeight="1" outlineLevel="2" x14ac:dyDescent="0.3">
      <c r="A248" s="8" t="s">
        <v>24</v>
      </c>
      <c r="B248" s="12" t="s">
        <v>3</v>
      </c>
      <c r="C248" s="13">
        <v>19</v>
      </c>
    </row>
    <row r="249" spans="1:3" ht="21.9" hidden="1" customHeight="1" outlineLevel="2" x14ac:dyDescent="0.3">
      <c r="A249" s="8" t="s">
        <v>25</v>
      </c>
      <c r="B249" s="12" t="s">
        <v>3</v>
      </c>
      <c r="C249" s="13">
        <v>19</v>
      </c>
    </row>
    <row r="250" spans="1:3" ht="21.9" hidden="1" customHeight="1" outlineLevel="2" x14ac:dyDescent="0.3">
      <c r="A250" s="8" t="s">
        <v>26</v>
      </c>
      <c r="B250" s="12" t="s">
        <v>3</v>
      </c>
      <c r="C250" s="13">
        <v>19</v>
      </c>
    </row>
    <row r="251" spans="1:3" ht="21.9" hidden="1" customHeight="1" outlineLevel="2" x14ac:dyDescent="0.3">
      <c r="A251" s="8" t="s">
        <v>27</v>
      </c>
      <c r="B251" s="12" t="s">
        <v>3</v>
      </c>
      <c r="C251" s="13">
        <v>13</v>
      </c>
    </row>
    <row r="252" spans="1:3" ht="21.9" hidden="1" customHeight="1" outlineLevel="2" x14ac:dyDescent="0.3">
      <c r="A252" s="8" t="s">
        <v>28</v>
      </c>
      <c r="B252" s="12" t="s">
        <v>3</v>
      </c>
      <c r="C252" s="13">
        <v>14</v>
      </c>
    </row>
    <row r="253" spans="1:3" ht="21.9" hidden="1" customHeight="1" outlineLevel="2" x14ac:dyDescent="0.3">
      <c r="A253" s="8" t="s">
        <v>29</v>
      </c>
      <c r="B253" s="12" t="s">
        <v>3</v>
      </c>
      <c r="C253" s="13">
        <v>6</v>
      </c>
    </row>
    <row r="254" spans="1:3" ht="21.9" hidden="1" customHeight="1" outlineLevel="2" x14ac:dyDescent="0.3">
      <c r="A254" s="8" t="s">
        <v>31</v>
      </c>
      <c r="B254" s="12" t="s">
        <v>3</v>
      </c>
      <c r="C254" s="13">
        <v>1</v>
      </c>
    </row>
    <row r="255" spans="1:3" ht="21.9" hidden="1" customHeight="1" outlineLevel="2" x14ac:dyDescent="0.3">
      <c r="A255" s="7" t="s">
        <v>50</v>
      </c>
      <c r="B255" s="10"/>
      <c r="C255" s="11">
        <f>SUM(C256:C262)</f>
        <v>106</v>
      </c>
    </row>
    <row r="256" spans="1:3" ht="21.9" hidden="1" customHeight="1" outlineLevel="2" x14ac:dyDescent="0.3">
      <c r="A256" s="8" t="s">
        <v>23</v>
      </c>
      <c r="B256" s="12" t="s">
        <v>3</v>
      </c>
      <c r="C256" s="13">
        <v>18</v>
      </c>
    </row>
    <row r="257" spans="1:3" ht="21.9" hidden="1" customHeight="1" outlineLevel="2" x14ac:dyDescent="0.3">
      <c r="A257" s="8" t="s">
        <v>24</v>
      </c>
      <c r="B257" s="12" t="s">
        <v>3</v>
      </c>
      <c r="C257" s="13">
        <v>18</v>
      </c>
    </row>
    <row r="258" spans="1:3" ht="21.9" hidden="1" customHeight="1" outlineLevel="2" x14ac:dyDescent="0.3">
      <c r="A258" s="8" t="s">
        <v>25</v>
      </c>
      <c r="B258" s="12" t="s">
        <v>3</v>
      </c>
      <c r="C258" s="13">
        <v>18</v>
      </c>
    </row>
    <row r="259" spans="1:3" ht="21.9" hidden="1" customHeight="1" outlineLevel="2" x14ac:dyDescent="0.3">
      <c r="A259" s="8" t="s">
        <v>26</v>
      </c>
      <c r="B259" s="12" t="s">
        <v>3</v>
      </c>
      <c r="C259" s="13">
        <v>18</v>
      </c>
    </row>
    <row r="260" spans="1:3" ht="21.9" hidden="1" customHeight="1" outlineLevel="2" x14ac:dyDescent="0.3">
      <c r="A260" s="8" t="s">
        <v>27</v>
      </c>
      <c r="B260" s="12" t="s">
        <v>3</v>
      </c>
      <c r="C260" s="13">
        <v>14</v>
      </c>
    </row>
    <row r="261" spans="1:3" ht="21.9" hidden="1" customHeight="1" outlineLevel="2" x14ac:dyDescent="0.3">
      <c r="A261" s="8" t="s">
        <v>28</v>
      </c>
      <c r="B261" s="12" t="s">
        <v>3</v>
      </c>
      <c r="C261" s="13">
        <v>16</v>
      </c>
    </row>
    <row r="262" spans="1:3" ht="21.9" hidden="1" customHeight="1" outlineLevel="2" x14ac:dyDescent="0.3">
      <c r="A262" s="8" t="s">
        <v>29</v>
      </c>
      <c r="B262" s="12" t="s">
        <v>3</v>
      </c>
      <c r="C262" s="13">
        <v>4</v>
      </c>
    </row>
    <row r="263" spans="1:3" ht="21.9" customHeight="1" collapsed="1" x14ac:dyDescent="0.3">
      <c r="A263" s="22" t="s">
        <v>51</v>
      </c>
      <c r="B263" s="22"/>
      <c r="C263" s="22"/>
    </row>
    <row r="264" spans="1:3" ht="21.9" customHeight="1" outlineLevel="1" x14ac:dyDescent="0.3">
      <c r="A264" s="7" t="s">
        <v>52</v>
      </c>
      <c r="B264" s="10"/>
      <c r="C264" s="11">
        <f>SUM(C265)</f>
        <v>52.02</v>
      </c>
    </row>
    <row r="265" spans="1:3" ht="21.9" customHeight="1" outlineLevel="1" x14ac:dyDescent="0.3">
      <c r="A265" s="8" t="s">
        <v>30</v>
      </c>
      <c r="B265" s="12" t="s">
        <v>17</v>
      </c>
      <c r="C265" s="13">
        <v>52.02</v>
      </c>
    </row>
    <row r="266" spans="1:3" ht="21.9" customHeight="1" outlineLevel="1" x14ac:dyDescent="0.3">
      <c r="A266" s="7" t="s">
        <v>53</v>
      </c>
      <c r="B266" s="10"/>
      <c r="C266" s="11">
        <f>SUM(C267)</f>
        <v>93.62</v>
      </c>
    </row>
    <row r="267" spans="1:3" ht="21.9" customHeight="1" outlineLevel="1" x14ac:dyDescent="0.3">
      <c r="A267" s="8" t="s">
        <v>30</v>
      </c>
      <c r="B267" s="12" t="s">
        <v>17</v>
      </c>
      <c r="C267" s="13">
        <v>93.62</v>
      </c>
    </row>
    <row r="268" spans="1:3" ht="21.9" customHeight="1" outlineLevel="1" x14ac:dyDescent="0.3">
      <c r="A268" s="7" t="s">
        <v>54</v>
      </c>
      <c r="B268" s="10"/>
      <c r="C268" s="11">
        <f>SUM(C269:C276)</f>
        <v>1753.81</v>
      </c>
    </row>
    <row r="269" spans="1:3" ht="21.9" customHeight="1" outlineLevel="1" x14ac:dyDescent="0.3">
      <c r="A269" s="8" t="s">
        <v>23</v>
      </c>
      <c r="B269" s="12" t="s">
        <v>17</v>
      </c>
      <c r="C269" s="13">
        <v>369.34</v>
      </c>
    </row>
    <row r="270" spans="1:3" ht="21.9" customHeight="1" outlineLevel="1" x14ac:dyDescent="0.3">
      <c r="A270" s="8" t="s">
        <v>24</v>
      </c>
      <c r="B270" s="12" t="s">
        <v>17</v>
      </c>
      <c r="C270" s="13">
        <v>274.08999999999997</v>
      </c>
    </row>
    <row r="271" spans="1:3" ht="21.9" customHeight="1" outlineLevel="1" x14ac:dyDescent="0.3">
      <c r="A271" s="8" t="s">
        <v>25</v>
      </c>
      <c r="B271" s="12" t="s">
        <v>17</v>
      </c>
      <c r="C271" s="13">
        <v>275.95999999999998</v>
      </c>
    </row>
    <row r="272" spans="1:3" ht="21.9" customHeight="1" outlineLevel="1" x14ac:dyDescent="0.3">
      <c r="A272" s="8" t="s">
        <v>26</v>
      </c>
      <c r="B272" s="12" t="s">
        <v>17</v>
      </c>
      <c r="C272" s="13">
        <v>275.55</v>
      </c>
    </row>
    <row r="273" spans="1:3" ht="21.9" customHeight="1" outlineLevel="1" x14ac:dyDescent="0.3">
      <c r="A273" s="8" t="s">
        <v>27</v>
      </c>
      <c r="B273" s="12" t="s">
        <v>17</v>
      </c>
      <c r="C273" s="13">
        <v>218.7</v>
      </c>
    </row>
    <row r="274" spans="1:3" ht="21.9" customHeight="1" outlineLevel="1" x14ac:dyDescent="0.3">
      <c r="A274" s="8" t="s">
        <v>28</v>
      </c>
      <c r="B274" s="12" t="s">
        <v>17</v>
      </c>
      <c r="C274" s="13">
        <v>199.79</v>
      </c>
    </row>
    <row r="275" spans="1:3" ht="21.9" customHeight="1" outlineLevel="1" x14ac:dyDescent="0.3">
      <c r="A275" s="8" t="s">
        <v>29</v>
      </c>
      <c r="B275" s="12" t="s">
        <v>17</v>
      </c>
      <c r="C275" s="13">
        <v>120.65</v>
      </c>
    </row>
    <row r="276" spans="1:3" ht="21.9" customHeight="1" outlineLevel="1" x14ac:dyDescent="0.3">
      <c r="A276" s="8" t="s">
        <v>31</v>
      </c>
      <c r="B276" s="12" t="s">
        <v>17</v>
      </c>
      <c r="C276" s="13">
        <v>19.73</v>
      </c>
    </row>
    <row r="277" spans="1:3" ht="21.9" customHeight="1" outlineLevel="1" x14ac:dyDescent="0.3">
      <c r="A277" s="7" t="s">
        <v>55</v>
      </c>
      <c r="B277" s="10"/>
      <c r="C277" s="11">
        <f>SUM(C278:C280)</f>
        <v>143.94999999999999</v>
      </c>
    </row>
    <row r="278" spans="1:3" ht="21.9" customHeight="1" outlineLevel="1" x14ac:dyDescent="0.3">
      <c r="A278" s="8" t="s">
        <v>23</v>
      </c>
      <c r="B278" s="12" t="s">
        <v>17</v>
      </c>
      <c r="C278" s="13">
        <v>0</v>
      </c>
    </row>
    <row r="279" spans="1:3" ht="21.9" customHeight="1" outlineLevel="1" x14ac:dyDescent="0.3">
      <c r="A279" s="8" t="s">
        <v>27</v>
      </c>
      <c r="B279" s="12" t="s">
        <v>17</v>
      </c>
      <c r="C279" s="13">
        <v>50.04</v>
      </c>
    </row>
    <row r="280" spans="1:3" ht="21.9" customHeight="1" outlineLevel="1" x14ac:dyDescent="0.3">
      <c r="A280" s="8" t="s">
        <v>29</v>
      </c>
      <c r="B280" s="12" t="s">
        <v>17</v>
      </c>
      <c r="C280" s="13">
        <v>93.91</v>
      </c>
    </row>
    <row r="281" spans="1:3" ht="21.9" customHeight="1" outlineLevel="1" x14ac:dyDescent="0.3">
      <c r="A281" s="7" t="s">
        <v>56</v>
      </c>
      <c r="B281" s="10"/>
      <c r="C281" s="11">
        <f>SUM(C282:C284)</f>
        <v>143.94999999999999</v>
      </c>
    </row>
    <row r="282" spans="1:3" ht="21.9" customHeight="1" outlineLevel="1" x14ac:dyDescent="0.3">
      <c r="A282" s="8" t="s">
        <v>23</v>
      </c>
      <c r="B282" s="12" t="s">
        <v>17</v>
      </c>
      <c r="C282" s="13">
        <v>0</v>
      </c>
    </row>
    <row r="283" spans="1:3" ht="21.9" customHeight="1" outlineLevel="1" x14ac:dyDescent="0.3">
      <c r="A283" s="8" t="s">
        <v>27</v>
      </c>
      <c r="B283" s="12" t="s">
        <v>17</v>
      </c>
      <c r="C283" s="13">
        <v>50.04</v>
      </c>
    </row>
    <row r="284" spans="1:3" ht="21.9" customHeight="1" outlineLevel="1" x14ac:dyDescent="0.3">
      <c r="A284" s="8" t="s">
        <v>29</v>
      </c>
      <c r="B284" s="12" t="s">
        <v>17</v>
      </c>
      <c r="C284" s="13">
        <v>93.91</v>
      </c>
    </row>
    <row r="285" spans="1:3" ht="21.9" customHeight="1" outlineLevel="1" x14ac:dyDescent="0.3">
      <c r="A285" s="7" t="s">
        <v>57</v>
      </c>
      <c r="B285" s="10"/>
      <c r="C285" s="11">
        <f>SUM(C286)</f>
        <v>9</v>
      </c>
    </row>
    <row r="286" spans="1:3" ht="21.9" customHeight="1" outlineLevel="1" x14ac:dyDescent="0.3">
      <c r="A286" s="8" t="s">
        <v>58</v>
      </c>
      <c r="B286" s="12" t="s">
        <v>5</v>
      </c>
      <c r="C286" s="13">
        <v>9</v>
      </c>
    </row>
    <row r="287" spans="1:3" ht="21.9" customHeight="1" outlineLevel="1" x14ac:dyDescent="0.3">
      <c r="A287" s="7" t="s">
        <v>59</v>
      </c>
      <c r="B287" s="10"/>
      <c r="C287" s="11">
        <f>SUM(C288)</f>
        <v>9</v>
      </c>
    </row>
    <row r="288" spans="1:3" ht="21.9" customHeight="1" outlineLevel="1" x14ac:dyDescent="0.3">
      <c r="A288" s="8" t="s">
        <v>58</v>
      </c>
      <c r="B288" s="12" t="s">
        <v>5</v>
      </c>
      <c r="C288" s="13">
        <v>9</v>
      </c>
    </row>
    <row r="289" spans="1:3" ht="21.9" customHeight="1" outlineLevel="1" x14ac:dyDescent="0.3">
      <c r="A289" s="7" t="s">
        <v>60</v>
      </c>
      <c r="B289" s="10"/>
      <c r="C289" s="11">
        <f>SUM(C290:C295)</f>
        <v>28</v>
      </c>
    </row>
    <row r="290" spans="1:3" ht="21.9" customHeight="1" outlineLevel="1" x14ac:dyDescent="0.3">
      <c r="A290" s="8" t="s">
        <v>23</v>
      </c>
      <c r="B290" s="12" t="s">
        <v>3</v>
      </c>
      <c r="C290" s="13">
        <v>5</v>
      </c>
    </row>
    <row r="291" spans="1:3" ht="21.9" customHeight="1" outlineLevel="1" x14ac:dyDescent="0.3">
      <c r="A291" s="8" t="s">
        <v>24</v>
      </c>
      <c r="B291" s="12" t="s">
        <v>3</v>
      </c>
      <c r="C291" s="13">
        <v>5</v>
      </c>
    </row>
    <row r="292" spans="1:3" ht="21.9" customHeight="1" outlineLevel="1" x14ac:dyDescent="0.3">
      <c r="A292" s="8" t="s">
        <v>25</v>
      </c>
      <c r="B292" s="12" t="s">
        <v>3</v>
      </c>
      <c r="C292" s="13">
        <v>5</v>
      </c>
    </row>
    <row r="293" spans="1:3" ht="21.9" customHeight="1" outlineLevel="1" x14ac:dyDescent="0.3">
      <c r="A293" s="8" t="s">
        <v>26</v>
      </c>
      <c r="B293" s="12" t="s">
        <v>3</v>
      </c>
      <c r="C293" s="13">
        <v>5</v>
      </c>
    </row>
    <row r="294" spans="1:3" ht="21.9" customHeight="1" outlineLevel="1" x14ac:dyDescent="0.3">
      <c r="A294" s="8" t="s">
        <v>27</v>
      </c>
      <c r="B294" s="12" t="s">
        <v>3</v>
      </c>
      <c r="C294" s="13">
        <v>3</v>
      </c>
    </row>
    <row r="295" spans="1:3" ht="21.9" customHeight="1" outlineLevel="1" x14ac:dyDescent="0.3">
      <c r="A295" s="8" t="s">
        <v>28</v>
      </c>
      <c r="B295" s="12" t="s">
        <v>3</v>
      </c>
      <c r="C295" s="13">
        <v>5</v>
      </c>
    </row>
    <row r="296" spans="1:3" ht="21.9" customHeight="1" outlineLevel="1" x14ac:dyDescent="0.3">
      <c r="A296" s="7" t="s">
        <v>61</v>
      </c>
      <c r="B296" s="10"/>
      <c r="C296" s="11">
        <f>SUM(C297)</f>
        <v>1</v>
      </c>
    </row>
    <row r="297" spans="1:3" ht="21.9" customHeight="1" outlineLevel="1" x14ac:dyDescent="0.3">
      <c r="A297" s="8" t="s">
        <v>49</v>
      </c>
      <c r="B297" s="12" t="s">
        <v>3</v>
      </c>
      <c r="C297" s="13">
        <v>1</v>
      </c>
    </row>
    <row r="298" spans="1:3" ht="21.9" customHeight="1" x14ac:dyDescent="0.3">
      <c r="A298" s="22" t="s">
        <v>62</v>
      </c>
      <c r="B298" s="22"/>
      <c r="C298" s="22"/>
    </row>
    <row r="299" spans="1:3" ht="21.9" hidden="1" customHeight="1" outlineLevel="1" x14ac:dyDescent="0.3">
      <c r="A299" s="7" t="s">
        <v>63</v>
      </c>
      <c r="B299" s="10"/>
      <c r="C299" s="11">
        <f>SUM(C300:C301)</f>
        <v>480</v>
      </c>
    </row>
    <row r="300" spans="1:3" ht="21.9" hidden="1" customHeight="1" outlineLevel="1" x14ac:dyDescent="0.3">
      <c r="A300" s="8" t="s">
        <v>49</v>
      </c>
      <c r="B300" s="12" t="s">
        <v>17</v>
      </c>
      <c r="C300" s="13">
        <v>240</v>
      </c>
    </row>
    <row r="301" spans="1:3" ht="21.9" hidden="1" customHeight="1" outlineLevel="1" x14ac:dyDescent="0.3">
      <c r="A301" s="8" t="s">
        <v>42</v>
      </c>
      <c r="B301" s="12" t="s">
        <v>17</v>
      </c>
      <c r="C301" s="13">
        <v>240</v>
      </c>
    </row>
    <row r="302" spans="1:3" ht="21.9" hidden="1" customHeight="1" outlineLevel="1" x14ac:dyDescent="0.3">
      <c r="A302" s="7" t="s">
        <v>64</v>
      </c>
      <c r="B302" s="10"/>
      <c r="C302" s="11">
        <f>SUM(C303)</f>
        <v>52.02</v>
      </c>
    </row>
    <row r="303" spans="1:3" ht="21.9" hidden="1" customHeight="1" outlineLevel="1" x14ac:dyDescent="0.3">
      <c r="A303" s="8" t="s">
        <v>30</v>
      </c>
      <c r="B303" s="12" t="s">
        <v>17</v>
      </c>
      <c r="C303" s="13">
        <v>52.02</v>
      </c>
    </row>
    <row r="304" spans="1:3" ht="21.9" customHeight="1" collapsed="1" x14ac:dyDescent="0.3">
      <c r="A304" s="22" t="s">
        <v>65</v>
      </c>
      <c r="B304" s="22"/>
      <c r="C304" s="22"/>
    </row>
    <row r="305" spans="1:3" ht="21.9" hidden="1" customHeight="1" outlineLevel="1" x14ac:dyDescent="0.3">
      <c r="A305" s="7" t="s">
        <v>66</v>
      </c>
      <c r="B305" s="10"/>
      <c r="C305" s="11">
        <f>SUM(C306:C312)</f>
        <v>46</v>
      </c>
    </row>
    <row r="306" spans="1:3" ht="21.9" hidden="1" customHeight="1" outlineLevel="1" x14ac:dyDescent="0.3">
      <c r="A306" s="8" t="s">
        <v>23</v>
      </c>
      <c r="B306" s="12" t="s">
        <v>3</v>
      </c>
      <c r="C306" s="13">
        <v>8</v>
      </c>
    </row>
    <row r="307" spans="1:3" ht="21.9" hidden="1" customHeight="1" outlineLevel="1" x14ac:dyDescent="0.3">
      <c r="A307" s="8" t="s">
        <v>24</v>
      </c>
      <c r="B307" s="12" t="s">
        <v>3</v>
      </c>
      <c r="C307" s="13">
        <v>8</v>
      </c>
    </row>
    <row r="308" spans="1:3" ht="21.9" hidden="1" customHeight="1" outlineLevel="1" x14ac:dyDescent="0.3">
      <c r="A308" s="8" t="s">
        <v>25</v>
      </c>
      <c r="B308" s="12" t="s">
        <v>3</v>
      </c>
      <c r="C308" s="13">
        <v>8</v>
      </c>
    </row>
    <row r="309" spans="1:3" ht="21.9" hidden="1" customHeight="1" outlineLevel="1" x14ac:dyDescent="0.3">
      <c r="A309" s="8" t="s">
        <v>26</v>
      </c>
      <c r="B309" s="12" t="s">
        <v>3</v>
      </c>
      <c r="C309" s="13">
        <v>7</v>
      </c>
    </row>
    <row r="310" spans="1:3" ht="21.9" hidden="1" customHeight="1" outlineLevel="1" x14ac:dyDescent="0.3">
      <c r="A310" s="8" t="s">
        <v>27</v>
      </c>
      <c r="B310" s="12" t="s">
        <v>3</v>
      </c>
      <c r="C310" s="13">
        <v>5</v>
      </c>
    </row>
    <row r="311" spans="1:3" ht="21.9" hidden="1" customHeight="1" outlineLevel="1" x14ac:dyDescent="0.3">
      <c r="A311" s="8" t="s">
        <v>28</v>
      </c>
      <c r="B311" s="12" t="s">
        <v>3</v>
      </c>
      <c r="C311" s="13">
        <v>7</v>
      </c>
    </row>
    <row r="312" spans="1:3" ht="21.9" hidden="1" customHeight="1" outlineLevel="1" x14ac:dyDescent="0.3">
      <c r="A312" s="8" t="s">
        <v>29</v>
      </c>
      <c r="B312" s="12" t="s">
        <v>3</v>
      </c>
      <c r="C312" s="13">
        <v>3</v>
      </c>
    </row>
    <row r="313" spans="1:3" ht="21.9" hidden="1" customHeight="1" outlineLevel="1" x14ac:dyDescent="0.3">
      <c r="A313" s="7" t="s">
        <v>67</v>
      </c>
      <c r="B313" s="10"/>
      <c r="C313" s="11">
        <f>SUM(C314:C320)</f>
        <v>60</v>
      </c>
    </row>
    <row r="314" spans="1:3" ht="21.9" hidden="1" customHeight="1" outlineLevel="1" x14ac:dyDescent="0.3">
      <c r="A314" s="8" t="s">
        <v>23</v>
      </c>
      <c r="B314" s="12" t="s">
        <v>3</v>
      </c>
      <c r="C314" s="13">
        <v>10</v>
      </c>
    </row>
    <row r="315" spans="1:3" ht="21.9" hidden="1" customHeight="1" outlineLevel="1" x14ac:dyDescent="0.3">
      <c r="A315" s="8" t="s">
        <v>24</v>
      </c>
      <c r="B315" s="12" t="s">
        <v>3</v>
      </c>
      <c r="C315" s="13">
        <v>10</v>
      </c>
    </row>
    <row r="316" spans="1:3" ht="21.9" hidden="1" customHeight="1" outlineLevel="1" x14ac:dyDescent="0.3">
      <c r="A316" s="8" t="s">
        <v>25</v>
      </c>
      <c r="B316" s="12" t="s">
        <v>3</v>
      </c>
      <c r="C316" s="13">
        <v>10</v>
      </c>
    </row>
    <row r="317" spans="1:3" ht="21.9" hidden="1" customHeight="1" outlineLevel="1" x14ac:dyDescent="0.3">
      <c r="A317" s="8" t="s">
        <v>26</v>
      </c>
      <c r="B317" s="12" t="s">
        <v>3</v>
      </c>
      <c r="C317" s="13">
        <v>11</v>
      </c>
    </row>
    <row r="318" spans="1:3" ht="21.9" hidden="1" customHeight="1" outlineLevel="1" x14ac:dyDescent="0.3">
      <c r="A318" s="8" t="s">
        <v>27</v>
      </c>
      <c r="B318" s="12" t="s">
        <v>3</v>
      </c>
      <c r="C318" s="13">
        <v>9</v>
      </c>
    </row>
    <row r="319" spans="1:3" ht="21.9" hidden="1" customHeight="1" outlineLevel="1" x14ac:dyDescent="0.3">
      <c r="A319" s="8" t="s">
        <v>28</v>
      </c>
      <c r="B319" s="12" t="s">
        <v>3</v>
      </c>
      <c r="C319" s="13">
        <v>9</v>
      </c>
    </row>
    <row r="320" spans="1:3" ht="21.9" hidden="1" customHeight="1" outlineLevel="1" x14ac:dyDescent="0.3">
      <c r="A320" s="8" t="s">
        <v>29</v>
      </c>
      <c r="B320" s="12" t="s">
        <v>3</v>
      </c>
      <c r="C320" s="13">
        <v>1</v>
      </c>
    </row>
    <row r="321" spans="1:3" ht="21.9" hidden="1" customHeight="1" outlineLevel="1" x14ac:dyDescent="0.3">
      <c r="A321" s="7" t="s">
        <v>68</v>
      </c>
      <c r="B321" s="10"/>
      <c r="C321" s="11">
        <f>SUM(C322:C329)</f>
        <v>8</v>
      </c>
    </row>
    <row r="322" spans="1:3" ht="21.9" hidden="1" customHeight="1" outlineLevel="1" x14ac:dyDescent="0.3">
      <c r="A322" s="8" t="s">
        <v>30</v>
      </c>
      <c r="B322" s="12" t="s">
        <v>3</v>
      </c>
      <c r="C322" s="13">
        <v>1</v>
      </c>
    </row>
    <row r="323" spans="1:3" ht="21.9" hidden="1" customHeight="1" outlineLevel="1" x14ac:dyDescent="0.3">
      <c r="A323" s="8" t="s">
        <v>23</v>
      </c>
      <c r="B323" s="12" t="s">
        <v>3</v>
      </c>
      <c r="C323" s="13">
        <v>1</v>
      </c>
    </row>
    <row r="324" spans="1:3" ht="21.9" hidden="1" customHeight="1" outlineLevel="1" x14ac:dyDescent="0.3">
      <c r="A324" s="8" t="s">
        <v>24</v>
      </c>
      <c r="B324" s="12" t="s">
        <v>3</v>
      </c>
      <c r="C324" s="13">
        <v>1</v>
      </c>
    </row>
    <row r="325" spans="1:3" ht="21.9" hidden="1" customHeight="1" outlineLevel="1" x14ac:dyDescent="0.3">
      <c r="A325" s="8" t="s">
        <v>25</v>
      </c>
      <c r="B325" s="12" t="s">
        <v>3</v>
      </c>
      <c r="C325" s="13">
        <v>1</v>
      </c>
    </row>
    <row r="326" spans="1:3" ht="21.9" hidden="1" customHeight="1" outlineLevel="1" x14ac:dyDescent="0.3">
      <c r="A326" s="8" t="s">
        <v>26</v>
      </c>
      <c r="B326" s="12" t="s">
        <v>3</v>
      </c>
      <c r="C326" s="13">
        <v>1</v>
      </c>
    </row>
    <row r="327" spans="1:3" ht="21.9" hidden="1" customHeight="1" outlineLevel="1" x14ac:dyDescent="0.3">
      <c r="A327" s="8" t="s">
        <v>27</v>
      </c>
      <c r="B327" s="12" t="s">
        <v>3</v>
      </c>
      <c r="C327" s="13">
        <v>1</v>
      </c>
    </row>
    <row r="328" spans="1:3" ht="21.9" hidden="1" customHeight="1" outlineLevel="1" x14ac:dyDescent="0.3">
      <c r="A328" s="8" t="s">
        <v>28</v>
      </c>
      <c r="B328" s="12" t="s">
        <v>3</v>
      </c>
      <c r="C328" s="13">
        <v>1</v>
      </c>
    </row>
    <row r="329" spans="1:3" ht="21.9" hidden="1" customHeight="1" outlineLevel="1" x14ac:dyDescent="0.3">
      <c r="A329" s="8" t="s">
        <v>29</v>
      </c>
      <c r="B329" s="12" t="s">
        <v>3</v>
      </c>
      <c r="C329" s="13">
        <v>1</v>
      </c>
    </row>
    <row r="330" spans="1:3" ht="21.9" hidden="1" customHeight="1" outlineLevel="1" x14ac:dyDescent="0.3">
      <c r="A330" s="7" t="s">
        <v>69</v>
      </c>
      <c r="B330" s="10"/>
      <c r="C330" s="11">
        <f>SUM(C331:C339)</f>
        <v>18</v>
      </c>
    </row>
    <row r="331" spans="1:3" ht="21.9" hidden="1" customHeight="1" outlineLevel="1" x14ac:dyDescent="0.3">
      <c r="A331" s="8" t="s">
        <v>30</v>
      </c>
      <c r="B331" s="12" t="s">
        <v>3</v>
      </c>
      <c r="C331" s="13">
        <v>2</v>
      </c>
    </row>
    <row r="332" spans="1:3" ht="21.9" hidden="1" customHeight="1" outlineLevel="1" x14ac:dyDescent="0.3">
      <c r="A332" s="8" t="s">
        <v>23</v>
      </c>
      <c r="B332" s="12" t="s">
        <v>3</v>
      </c>
      <c r="C332" s="13">
        <v>2</v>
      </c>
    </row>
    <row r="333" spans="1:3" ht="21.9" hidden="1" customHeight="1" outlineLevel="1" x14ac:dyDescent="0.3">
      <c r="A333" s="8" t="s">
        <v>24</v>
      </c>
      <c r="B333" s="12" t="s">
        <v>3</v>
      </c>
      <c r="C333" s="13">
        <v>2</v>
      </c>
    </row>
    <row r="334" spans="1:3" ht="21.9" hidden="1" customHeight="1" outlineLevel="1" x14ac:dyDescent="0.3">
      <c r="A334" s="8" t="s">
        <v>25</v>
      </c>
      <c r="B334" s="12" t="s">
        <v>3</v>
      </c>
      <c r="C334" s="13">
        <v>2</v>
      </c>
    </row>
    <row r="335" spans="1:3" ht="21.9" hidden="1" customHeight="1" outlineLevel="1" x14ac:dyDescent="0.3">
      <c r="A335" s="8" t="s">
        <v>26</v>
      </c>
      <c r="B335" s="12" t="s">
        <v>3</v>
      </c>
      <c r="C335" s="13">
        <v>2</v>
      </c>
    </row>
    <row r="336" spans="1:3" ht="21.9" hidden="1" customHeight="1" outlineLevel="1" x14ac:dyDescent="0.3">
      <c r="A336" s="8" t="s">
        <v>27</v>
      </c>
      <c r="B336" s="12" t="s">
        <v>3</v>
      </c>
      <c r="C336" s="13">
        <v>2</v>
      </c>
    </row>
    <row r="337" spans="1:3" ht="21.9" hidden="1" customHeight="1" outlineLevel="1" x14ac:dyDescent="0.3">
      <c r="A337" s="8" t="s">
        <v>28</v>
      </c>
      <c r="B337" s="12" t="s">
        <v>3</v>
      </c>
      <c r="C337" s="13">
        <v>2</v>
      </c>
    </row>
    <row r="338" spans="1:3" ht="21.9" hidden="1" customHeight="1" outlineLevel="1" x14ac:dyDescent="0.3">
      <c r="A338" s="8" t="s">
        <v>29</v>
      </c>
      <c r="B338" s="12" t="s">
        <v>3</v>
      </c>
      <c r="C338" s="13">
        <v>2</v>
      </c>
    </row>
    <row r="339" spans="1:3" ht="21.9" hidden="1" customHeight="1" outlineLevel="1" x14ac:dyDescent="0.3">
      <c r="A339" s="8" t="s">
        <v>31</v>
      </c>
      <c r="B339" s="12" t="s">
        <v>3</v>
      </c>
      <c r="C339" s="13">
        <v>2</v>
      </c>
    </row>
    <row r="340" spans="1:3" ht="21.9" hidden="1" customHeight="1" outlineLevel="1" x14ac:dyDescent="0.3">
      <c r="A340" s="7" t="s">
        <v>70</v>
      </c>
      <c r="B340" s="10"/>
      <c r="C340" s="11">
        <f>SUM(C341:C348)</f>
        <v>9</v>
      </c>
    </row>
    <row r="341" spans="1:3" ht="21.9" hidden="1" customHeight="1" outlineLevel="1" x14ac:dyDescent="0.3">
      <c r="A341" s="8" t="s">
        <v>30</v>
      </c>
      <c r="B341" s="12" t="s">
        <v>3</v>
      </c>
      <c r="C341" s="13">
        <v>1</v>
      </c>
    </row>
    <row r="342" spans="1:3" ht="21.9" hidden="1" customHeight="1" outlineLevel="1" x14ac:dyDescent="0.3">
      <c r="A342" s="8" t="s">
        <v>23</v>
      </c>
      <c r="B342" s="12" t="s">
        <v>3</v>
      </c>
      <c r="C342" s="13">
        <v>1</v>
      </c>
    </row>
    <row r="343" spans="1:3" ht="21.9" hidden="1" customHeight="1" outlineLevel="1" x14ac:dyDescent="0.3">
      <c r="A343" s="8" t="s">
        <v>24</v>
      </c>
      <c r="B343" s="12" t="s">
        <v>3</v>
      </c>
      <c r="C343" s="13">
        <v>1</v>
      </c>
    </row>
    <row r="344" spans="1:3" ht="21.9" hidden="1" customHeight="1" outlineLevel="1" x14ac:dyDescent="0.3">
      <c r="A344" s="8" t="s">
        <v>25</v>
      </c>
      <c r="B344" s="12" t="s">
        <v>3</v>
      </c>
      <c r="C344" s="13">
        <v>1</v>
      </c>
    </row>
    <row r="345" spans="1:3" ht="21.9" hidden="1" customHeight="1" outlineLevel="1" x14ac:dyDescent="0.3">
      <c r="A345" s="8" t="s">
        <v>26</v>
      </c>
      <c r="B345" s="12" t="s">
        <v>3</v>
      </c>
      <c r="C345" s="13">
        <v>1</v>
      </c>
    </row>
    <row r="346" spans="1:3" ht="21.9" hidden="1" customHeight="1" outlineLevel="1" x14ac:dyDescent="0.3">
      <c r="A346" s="8" t="s">
        <v>27</v>
      </c>
      <c r="B346" s="12" t="s">
        <v>3</v>
      </c>
      <c r="C346" s="13">
        <v>1</v>
      </c>
    </row>
    <row r="347" spans="1:3" ht="21.9" hidden="1" customHeight="1" outlineLevel="1" x14ac:dyDescent="0.3">
      <c r="A347" s="8" t="s">
        <v>28</v>
      </c>
      <c r="B347" s="12" t="s">
        <v>3</v>
      </c>
      <c r="C347" s="13">
        <v>1</v>
      </c>
    </row>
    <row r="348" spans="1:3" ht="21.9" hidden="1" customHeight="1" outlineLevel="1" x14ac:dyDescent="0.3">
      <c r="A348" s="8" t="s">
        <v>29</v>
      </c>
      <c r="B348" s="12" t="s">
        <v>3</v>
      </c>
      <c r="C348" s="13">
        <v>2</v>
      </c>
    </row>
    <row r="349" spans="1:3" ht="21.9" customHeight="1" collapsed="1" x14ac:dyDescent="0.3">
      <c r="A349" s="22" t="s">
        <v>71</v>
      </c>
      <c r="B349" s="22"/>
      <c r="C349" s="22">
        <v>11</v>
      </c>
    </row>
    <row r="350" spans="1:3" ht="21.9" hidden="1" customHeight="1" outlineLevel="1" x14ac:dyDescent="0.3">
      <c r="A350" s="8" t="s">
        <v>49</v>
      </c>
      <c r="B350" s="12" t="s">
        <v>5</v>
      </c>
      <c r="C350" s="13">
        <v>1</v>
      </c>
    </row>
    <row r="351" spans="1:3" ht="21.9" hidden="1" customHeight="1" outlineLevel="1" x14ac:dyDescent="0.3">
      <c r="A351" s="8" t="s">
        <v>42</v>
      </c>
      <c r="B351" s="12" t="s">
        <v>5</v>
      </c>
      <c r="C351" s="13">
        <v>1</v>
      </c>
    </row>
    <row r="352" spans="1:3" ht="21.9" hidden="1" customHeight="1" outlineLevel="1" x14ac:dyDescent="0.3">
      <c r="A352" s="8" t="s">
        <v>30</v>
      </c>
      <c r="B352" s="12" t="s">
        <v>5</v>
      </c>
      <c r="C352" s="13">
        <v>1</v>
      </c>
    </row>
    <row r="353" spans="1:5" ht="21.9" hidden="1" customHeight="1" outlineLevel="1" x14ac:dyDescent="0.3">
      <c r="A353" s="8" t="s">
        <v>23</v>
      </c>
      <c r="B353" s="12" t="s">
        <v>5</v>
      </c>
      <c r="C353" s="13">
        <v>1</v>
      </c>
    </row>
    <row r="354" spans="1:5" ht="21.9" hidden="1" customHeight="1" outlineLevel="1" x14ac:dyDescent="0.3">
      <c r="A354" s="8" t="s">
        <v>24</v>
      </c>
      <c r="B354" s="12" t="s">
        <v>5</v>
      </c>
      <c r="C354" s="13">
        <v>1</v>
      </c>
    </row>
    <row r="355" spans="1:5" ht="21.9" hidden="1" customHeight="1" outlineLevel="1" x14ac:dyDescent="0.3">
      <c r="A355" s="8" t="s">
        <v>25</v>
      </c>
      <c r="B355" s="12" t="s">
        <v>5</v>
      </c>
      <c r="C355" s="13">
        <v>1</v>
      </c>
    </row>
    <row r="356" spans="1:5" ht="21.9" hidden="1" customHeight="1" outlineLevel="1" x14ac:dyDescent="0.3">
      <c r="A356" s="8" t="s">
        <v>26</v>
      </c>
      <c r="B356" s="12" t="s">
        <v>5</v>
      </c>
      <c r="C356" s="13">
        <v>1</v>
      </c>
    </row>
    <row r="357" spans="1:5" ht="21.9" hidden="1" customHeight="1" outlineLevel="1" x14ac:dyDescent="0.3">
      <c r="A357" s="8" t="s">
        <v>27</v>
      </c>
      <c r="B357" s="12" t="s">
        <v>5</v>
      </c>
      <c r="C357" s="13">
        <v>1</v>
      </c>
    </row>
    <row r="358" spans="1:5" ht="21.9" hidden="1" customHeight="1" outlineLevel="1" x14ac:dyDescent="0.3">
      <c r="A358" s="8" t="s">
        <v>28</v>
      </c>
      <c r="B358" s="12" t="s">
        <v>5</v>
      </c>
      <c r="C358" s="13">
        <v>1</v>
      </c>
    </row>
    <row r="359" spans="1:5" ht="21.9" hidden="1" customHeight="1" outlineLevel="1" x14ac:dyDescent="0.3">
      <c r="A359" s="8" t="s">
        <v>29</v>
      </c>
      <c r="B359" s="12" t="s">
        <v>5</v>
      </c>
      <c r="C359" s="13">
        <v>1</v>
      </c>
    </row>
    <row r="360" spans="1:5" ht="21.9" hidden="1" customHeight="1" outlineLevel="1" x14ac:dyDescent="0.3">
      <c r="A360" s="8" t="s">
        <v>31</v>
      </c>
      <c r="B360" s="12" t="s">
        <v>5</v>
      </c>
      <c r="C360" s="13">
        <v>1</v>
      </c>
    </row>
    <row r="361" spans="1:5" ht="21.9" customHeight="1" collapsed="1" x14ac:dyDescent="0.3">
      <c r="A361" s="22" t="s">
        <v>72</v>
      </c>
      <c r="B361" s="22"/>
      <c r="C361" s="22"/>
    </row>
    <row r="362" spans="1:5" ht="21.9" hidden="1" customHeight="1" outlineLevel="1" x14ac:dyDescent="0.3">
      <c r="A362" s="7" t="s">
        <v>73</v>
      </c>
      <c r="B362" s="10"/>
      <c r="C362" s="11">
        <f>SUM(C363:C368)</f>
        <v>36</v>
      </c>
    </row>
    <row r="363" spans="1:5" ht="21.9" hidden="1" customHeight="1" outlineLevel="1" x14ac:dyDescent="0.3">
      <c r="A363" s="8" t="s">
        <v>23</v>
      </c>
      <c r="B363" s="12" t="s">
        <v>3</v>
      </c>
      <c r="C363" s="13">
        <v>6</v>
      </c>
    </row>
    <row r="364" spans="1:5" ht="21.9" hidden="1" customHeight="1" outlineLevel="1" x14ac:dyDescent="0.3">
      <c r="A364" s="8" t="s">
        <v>24</v>
      </c>
      <c r="B364" s="12" t="s">
        <v>3</v>
      </c>
      <c r="C364" s="13">
        <v>6</v>
      </c>
    </row>
    <row r="365" spans="1:5" ht="21.9" hidden="1" customHeight="1" outlineLevel="1" x14ac:dyDescent="0.3">
      <c r="A365" s="8" t="s">
        <v>25</v>
      </c>
      <c r="B365" s="12" t="s">
        <v>3</v>
      </c>
      <c r="C365" s="13">
        <v>6</v>
      </c>
    </row>
    <row r="366" spans="1:5" ht="21.9" hidden="1" customHeight="1" outlineLevel="1" x14ac:dyDescent="0.3">
      <c r="A366" s="8" t="s">
        <v>26</v>
      </c>
      <c r="B366" s="12" t="s">
        <v>3</v>
      </c>
      <c r="C366" s="13">
        <v>6</v>
      </c>
      <c r="E366" s="9"/>
    </row>
    <row r="367" spans="1:5" ht="21.9" hidden="1" customHeight="1" outlineLevel="1" x14ac:dyDescent="0.3">
      <c r="A367" s="8" t="s">
        <v>27</v>
      </c>
      <c r="B367" s="12" t="s">
        <v>3</v>
      </c>
      <c r="C367" s="13">
        <v>6</v>
      </c>
    </row>
    <row r="368" spans="1:5" ht="21.9" hidden="1" customHeight="1" outlineLevel="1" x14ac:dyDescent="0.3">
      <c r="A368" s="8" t="s">
        <v>28</v>
      </c>
      <c r="B368" s="12" t="s">
        <v>3</v>
      </c>
      <c r="C368" s="13">
        <v>6</v>
      </c>
    </row>
    <row r="369" spans="1:3" ht="21.9" hidden="1" customHeight="1" outlineLevel="1" x14ac:dyDescent="0.3">
      <c r="A369" s="7" t="s">
        <v>74</v>
      </c>
      <c r="B369" s="10"/>
      <c r="C369" s="11">
        <f>SUM(C370:C376)</f>
        <v>17</v>
      </c>
    </row>
    <row r="370" spans="1:3" ht="21.9" hidden="1" customHeight="1" outlineLevel="1" x14ac:dyDescent="0.3">
      <c r="A370" s="8" t="s">
        <v>30</v>
      </c>
      <c r="B370" s="12" t="s">
        <v>3</v>
      </c>
      <c r="C370" s="13">
        <v>1</v>
      </c>
    </row>
    <row r="371" spans="1:3" ht="21.9" hidden="1" customHeight="1" outlineLevel="1" x14ac:dyDescent="0.3">
      <c r="A371" s="8" t="s">
        <v>23</v>
      </c>
      <c r="B371" s="12" t="s">
        <v>3</v>
      </c>
      <c r="C371" s="13">
        <v>3</v>
      </c>
    </row>
    <row r="372" spans="1:3" ht="21.9" hidden="1" customHeight="1" outlineLevel="1" x14ac:dyDescent="0.3">
      <c r="A372" s="8" t="s">
        <v>24</v>
      </c>
      <c r="B372" s="12" t="s">
        <v>3</v>
      </c>
      <c r="C372" s="13">
        <v>3</v>
      </c>
    </row>
    <row r="373" spans="1:3" ht="21.9" hidden="1" customHeight="1" outlineLevel="1" x14ac:dyDescent="0.3">
      <c r="A373" s="8" t="s">
        <v>25</v>
      </c>
      <c r="B373" s="12" t="s">
        <v>3</v>
      </c>
      <c r="C373" s="13">
        <v>3</v>
      </c>
    </row>
    <row r="374" spans="1:3" ht="21.9" hidden="1" customHeight="1" outlineLevel="1" x14ac:dyDescent="0.3">
      <c r="A374" s="8" t="s">
        <v>26</v>
      </c>
      <c r="B374" s="12" t="s">
        <v>3</v>
      </c>
      <c r="C374" s="13">
        <v>3</v>
      </c>
    </row>
    <row r="375" spans="1:3" ht="21.9" hidden="1" customHeight="1" outlineLevel="1" x14ac:dyDescent="0.3">
      <c r="A375" s="8" t="s">
        <v>27</v>
      </c>
      <c r="B375" s="12" t="s">
        <v>3</v>
      </c>
      <c r="C375" s="13">
        <v>3</v>
      </c>
    </row>
    <row r="376" spans="1:3" ht="21.9" hidden="1" customHeight="1" outlineLevel="1" x14ac:dyDescent="0.3">
      <c r="A376" s="8" t="s">
        <v>28</v>
      </c>
      <c r="B376" s="12" t="s">
        <v>3</v>
      </c>
      <c r="C376" s="13">
        <v>1</v>
      </c>
    </row>
    <row r="377" spans="1:3" ht="21.9" hidden="1" customHeight="1" outlineLevel="1" x14ac:dyDescent="0.3">
      <c r="A377" s="7" t="s">
        <v>75</v>
      </c>
      <c r="B377" s="10"/>
      <c r="C377" s="11">
        <f>SUM(C378:C388)</f>
        <v>11</v>
      </c>
    </row>
    <row r="378" spans="1:3" ht="21.9" hidden="1" customHeight="1" outlineLevel="1" x14ac:dyDescent="0.3">
      <c r="A378" s="8" t="s">
        <v>49</v>
      </c>
      <c r="B378" s="12" t="s">
        <v>5</v>
      </c>
      <c r="C378" s="13">
        <v>1</v>
      </c>
    </row>
    <row r="379" spans="1:3" ht="21.9" hidden="1" customHeight="1" outlineLevel="1" x14ac:dyDescent="0.3">
      <c r="A379" s="8" t="s">
        <v>42</v>
      </c>
      <c r="B379" s="12" t="s">
        <v>5</v>
      </c>
      <c r="C379" s="13">
        <v>1</v>
      </c>
    </row>
    <row r="380" spans="1:3" ht="21.9" hidden="1" customHeight="1" outlineLevel="1" x14ac:dyDescent="0.3">
      <c r="A380" s="8" t="s">
        <v>30</v>
      </c>
      <c r="B380" s="12" t="s">
        <v>5</v>
      </c>
      <c r="C380" s="13">
        <v>1</v>
      </c>
    </row>
    <row r="381" spans="1:3" ht="21.9" hidden="1" customHeight="1" outlineLevel="1" x14ac:dyDescent="0.3">
      <c r="A381" s="8" t="s">
        <v>23</v>
      </c>
      <c r="B381" s="12" t="s">
        <v>5</v>
      </c>
      <c r="C381" s="13">
        <v>1</v>
      </c>
    </row>
    <row r="382" spans="1:3" ht="21.9" hidden="1" customHeight="1" outlineLevel="1" x14ac:dyDescent="0.3">
      <c r="A382" s="8" t="s">
        <v>24</v>
      </c>
      <c r="B382" s="12" t="s">
        <v>5</v>
      </c>
      <c r="C382" s="13">
        <v>1</v>
      </c>
    </row>
    <row r="383" spans="1:3" ht="21.9" hidden="1" customHeight="1" outlineLevel="1" x14ac:dyDescent="0.3">
      <c r="A383" s="8" t="s">
        <v>25</v>
      </c>
      <c r="B383" s="12" t="s">
        <v>5</v>
      </c>
      <c r="C383" s="13">
        <v>1</v>
      </c>
    </row>
    <row r="384" spans="1:3" ht="21.9" hidden="1" customHeight="1" outlineLevel="1" x14ac:dyDescent="0.3">
      <c r="A384" s="8" t="s">
        <v>26</v>
      </c>
      <c r="B384" s="12" t="s">
        <v>5</v>
      </c>
      <c r="C384" s="13">
        <v>1</v>
      </c>
    </row>
    <row r="385" spans="1:3" ht="21.9" hidden="1" customHeight="1" outlineLevel="1" x14ac:dyDescent="0.3">
      <c r="A385" s="8" t="s">
        <v>27</v>
      </c>
      <c r="B385" s="12" t="s">
        <v>5</v>
      </c>
      <c r="C385" s="13">
        <v>1</v>
      </c>
    </row>
    <row r="386" spans="1:3" ht="21.9" hidden="1" customHeight="1" outlineLevel="1" x14ac:dyDescent="0.3">
      <c r="A386" s="8" t="s">
        <v>28</v>
      </c>
      <c r="B386" s="12" t="s">
        <v>5</v>
      </c>
      <c r="C386" s="13">
        <v>1</v>
      </c>
    </row>
    <row r="387" spans="1:3" ht="21.9" hidden="1" customHeight="1" outlineLevel="1" x14ac:dyDescent="0.3">
      <c r="A387" s="8" t="s">
        <v>29</v>
      </c>
      <c r="B387" s="12" t="s">
        <v>5</v>
      </c>
      <c r="C387" s="13">
        <v>1</v>
      </c>
    </row>
    <row r="388" spans="1:3" ht="21.9" hidden="1" customHeight="1" outlineLevel="1" x14ac:dyDescent="0.3">
      <c r="A388" s="8" t="s">
        <v>31</v>
      </c>
      <c r="B388" s="12" t="s">
        <v>5</v>
      </c>
      <c r="C388" s="13">
        <v>1</v>
      </c>
    </row>
    <row r="389" spans="1:3" ht="21.9" customHeight="1" collapsed="1" x14ac:dyDescent="0.3">
      <c r="A389" s="22" t="s">
        <v>76</v>
      </c>
      <c r="B389" s="22"/>
      <c r="C389" s="22"/>
    </row>
    <row r="390" spans="1:3" ht="21.9" hidden="1" customHeight="1" outlineLevel="1" x14ac:dyDescent="0.3">
      <c r="A390" s="8" t="s">
        <v>49</v>
      </c>
      <c r="B390" s="12" t="s">
        <v>5</v>
      </c>
      <c r="C390" s="13">
        <v>1</v>
      </c>
    </row>
    <row r="391" spans="1:3" ht="21.9" hidden="1" customHeight="1" outlineLevel="1" x14ac:dyDescent="0.3">
      <c r="A391" s="8" t="s">
        <v>42</v>
      </c>
      <c r="B391" s="12" t="s">
        <v>5</v>
      </c>
      <c r="C391" s="13">
        <v>1</v>
      </c>
    </row>
    <row r="392" spans="1:3" ht="21.9" hidden="1" customHeight="1" outlineLevel="1" x14ac:dyDescent="0.3">
      <c r="A392" s="8" t="s">
        <v>30</v>
      </c>
      <c r="B392" s="12" t="s">
        <v>5</v>
      </c>
      <c r="C392" s="13">
        <v>1</v>
      </c>
    </row>
    <row r="393" spans="1:3" ht="21.9" hidden="1" customHeight="1" outlineLevel="1" x14ac:dyDescent="0.3">
      <c r="A393" s="8" t="s">
        <v>23</v>
      </c>
      <c r="B393" s="12" t="s">
        <v>5</v>
      </c>
      <c r="C393" s="13">
        <v>1</v>
      </c>
    </row>
    <row r="394" spans="1:3" ht="21.9" hidden="1" customHeight="1" outlineLevel="1" x14ac:dyDescent="0.3">
      <c r="A394" s="8" t="s">
        <v>24</v>
      </c>
      <c r="B394" s="12" t="s">
        <v>5</v>
      </c>
      <c r="C394" s="13">
        <v>1</v>
      </c>
    </row>
    <row r="395" spans="1:3" ht="21.9" hidden="1" customHeight="1" outlineLevel="1" x14ac:dyDescent="0.3">
      <c r="A395" s="8" t="s">
        <v>25</v>
      </c>
      <c r="B395" s="12" t="s">
        <v>5</v>
      </c>
      <c r="C395" s="13">
        <v>1</v>
      </c>
    </row>
    <row r="396" spans="1:3" ht="21.9" hidden="1" customHeight="1" outlineLevel="1" x14ac:dyDescent="0.3">
      <c r="A396" s="8" t="s">
        <v>26</v>
      </c>
      <c r="B396" s="12" t="s">
        <v>5</v>
      </c>
      <c r="C396" s="13">
        <v>1</v>
      </c>
    </row>
    <row r="397" spans="1:3" ht="21.9" hidden="1" customHeight="1" outlineLevel="1" x14ac:dyDescent="0.3">
      <c r="A397" s="8" t="s">
        <v>27</v>
      </c>
      <c r="B397" s="12" t="s">
        <v>5</v>
      </c>
      <c r="C397" s="13">
        <v>1</v>
      </c>
    </row>
    <row r="398" spans="1:3" ht="21.9" hidden="1" customHeight="1" outlineLevel="1" x14ac:dyDescent="0.3">
      <c r="A398" s="8" t="s">
        <v>28</v>
      </c>
      <c r="B398" s="12" t="s">
        <v>5</v>
      </c>
      <c r="C398" s="13">
        <v>1</v>
      </c>
    </row>
    <row r="399" spans="1:3" ht="21.9" hidden="1" customHeight="1" outlineLevel="1" x14ac:dyDescent="0.3">
      <c r="A399" s="8" t="s">
        <v>29</v>
      </c>
      <c r="B399" s="12" t="s">
        <v>5</v>
      </c>
      <c r="C399" s="13">
        <v>1</v>
      </c>
    </row>
    <row r="400" spans="1:3" ht="21.9" hidden="1" customHeight="1" outlineLevel="1" x14ac:dyDescent="0.3">
      <c r="A400" s="8" t="s">
        <v>31</v>
      </c>
      <c r="B400" s="12" t="s">
        <v>5</v>
      </c>
      <c r="C400" s="13">
        <v>1</v>
      </c>
    </row>
    <row r="401" spans="1:3" ht="21.9" customHeight="1" collapsed="1" x14ac:dyDescent="0.3">
      <c r="A401" s="22" t="s">
        <v>77</v>
      </c>
      <c r="B401" s="22"/>
      <c r="C401" s="22"/>
    </row>
    <row r="402" spans="1:3" ht="21.9" hidden="1" customHeight="1" outlineLevel="1" x14ac:dyDescent="0.3">
      <c r="A402" s="8" t="s">
        <v>30</v>
      </c>
      <c r="B402" s="12" t="s">
        <v>3</v>
      </c>
      <c r="C402" s="13">
        <v>1</v>
      </c>
    </row>
    <row r="403" spans="1:3" ht="21.9" hidden="1" customHeight="1" outlineLevel="1" x14ac:dyDescent="0.3">
      <c r="A403" s="8" t="s">
        <v>23</v>
      </c>
      <c r="B403" s="12" t="s">
        <v>3</v>
      </c>
      <c r="C403" s="13">
        <v>9</v>
      </c>
    </row>
    <row r="404" spans="1:3" ht="21.9" hidden="1" customHeight="1" outlineLevel="1" x14ac:dyDescent="0.3">
      <c r="A404" s="8" t="s">
        <v>24</v>
      </c>
      <c r="B404" s="12" t="s">
        <v>3</v>
      </c>
      <c r="C404" s="13">
        <v>9</v>
      </c>
    </row>
    <row r="405" spans="1:3" ht="21.9" hidden="1" customHeight="1" outlineLevel="1" x14ac:dyDescent="0.3">
      <c r="A405" s="8" t="s">
        <v>25</v>
      </c>
      <c r="B405" s="12" t="s">
        <v>3</v>
      </c>
      <c r="C405" s="13">
        <v>9</v>
      </c>
    </row>
    <row r="406" spans="1:3" ht="21.9" hidden="1" customHeight="1" outlineLevel="1" x14ac:dyDescent="0.3">
      <c r="A406" s="8" t="s">
        <v>26</v>
      </c>
      <c r="B406" s="12" t="s">
        <v>3</v>
      </c>
      <c r="C406" s="13">
        <v>9</v>
      </c>
    </row>
    <row r="407" spans="1:3" ht="21.9" hidden="1" customHeight="1" outlineLevel="1" x14ac:dyDescent="0.3">
      <c r="A407" s="8" t="s">
        <v>27</v>
      </c>
      <c r="B407" s="12" t="s">
        <v>3</v>
      </c>
      <c r="C407" s="13">
        <v>6</v>
      </c>
    </row>
    <row r="408" spans="1:3" ht="21.9" hidden="1" customHeight="1" outlineLevel="1" x14ac:dyDescent="0.3">
      <c r="A408" s="8" t="s">
        <v>28</v>
      </c>
      <c r="B408" s="12" t="s">
        <v>3</v>
      </c>
      <c r="C408" s="13">
        <v>8</v>
      </c>
    </row>
    <row r="409" spans="1:3" ht="21.9" hidden="1" customHeight="1" outlineLevel="1" x14ac:dyDescent="0.3">
      <c r="A409" s="8" t="s">
        <v>29</v>
      </c>
      <c r="B409" s="12" t="s">
        <v>3</v>
      </c>
      <c r="C409" s="13">
        <v>1</v>
      </c>
    </row>
    <row r="410" spans="1:3" ht="21.9" customHeight="1" collapsed="1" x14ac:dyDescent="0.3">
      <c r="A410" s="22" t="s">
        <v>78</v>
      </c>
      <c r="B410" s="22"/>
      <c r="C410" s="22"/>
    </row>
    <row r="411" spans="1:3" ht="21.9" hidden="1" customHeight="1" outlineLevel="1" x14ac:dyDescent="0.3">
      <c r="A411" s="8" t="s">
        <v>49</v>
      </c>
      <c r="B411" s="12" t="s">
        <v>5</v>
      </c>
      <c r="C411" s="13">
        <v>1</v>
      </c>
    </row>
    <row r="412" spans="1:3" ht="21.9" hidden="1" customHeight="1" outlineLevel="1" x14ac:dyDescent="0.3">
      <c r="A412" s="8" t="s">
        <v>42</v>
      </c>
      <c r="B412" s="12" t="s">
        <v>5</v>
      </c>
      <c r="C412" s="13">
        <v>1</v>
      </c>
    </row>
    <row r="413" spans="1:3" ht="21.9" hidden="1" customHeight="1" outlineLevel="1" x14ac:dyDescent="0.3">
      <c r="A413" s="8" t="s">
        <v>30</v>
      </c>
      <c r="B413" s="12" t="s">
        <v>5</v>
      </c>
      <c r="C413" s="13">
        <v>1</v>
      </c>
    </row>
    <row r="414" spans="1:3" ht="21.9" hidden="1" customHeight="1" outlineLevel="1" x14ac:dyDescent="0.3">
      <c r="A414" s="8" t="s">
        <v>23</v>
      </c>
      <c r="B414" s="12" t="s">
        <v>5</v>
      </c>
      <c r="C414" s="13">
        <v>1</v>
      </c>
    </row>
    <row r="415" spans="1:3" ht="21.9" hidden="1" customHeight="1" outlineLevel="1" x14ac:dyDescent="0.3">
      <c r="A415" s="8" t="s">
        <v>24</v>
      </c>
      <c r="B415" s="12" t="s">
        <v>5</v>
      </c>
      <c r="C415" s="13">
        <v>1</v>
      </c>
    </row>
    <row r="416" spans="1:3" ht="21.9" hidden="1" customHeight="1" outlineLevel="1" x14ac:dyDescent="0.3">
      <c r="A416" s="8" t="s">
        <v>25</v>
      </c>
      <c r="B416" s="12" t="s">
        <v>5</v>
      </c>
      <c r="C416" s="13">
        <v>1</v>
      </c>
    </row>
    <row r="417" spans="1:3" ht="21.9" hidden="1" customHeight="1" outlineLevel="1" x14ac:dyDescent="0.3">
      <c r="A417" s="8" t="s">
        <v>26</v>
      </c>
      <c r="B417" s="12" t="s">
        <v>5</v>
      </c>
      <c r="C417" s="13">
        <v>1</v>
      </c>
    </row>
    <row r="418" spans="1:3" ht="21.9" hidden="1" customHeight="1" outlineLevel="1" x14ac:dyDescent="0.3">
      <c r="A418" s="8" t="s">
        <v>27</v>
      </c>
      <c r="B418" s="12" t="s">
        <v>5</v>
      </c>
      <c r="C418" s="13">
        <v>1</v>
      </c>
    </row>
    <row r="419" spans="1:3" ht="21.9" hidden="1" customHeight="1" outlineLevel="1" x14ac:dyDescent="0.3">
      <c r="A419" s="8" t="s">
        <v>28</v>
      </c>
      <c r="B419" s="12" t="s">
        <v>5</v>
      </c>
      <c r="C419" s="13">
        <v>1</v>
      </c>
    </row>
    <row r="420" spans="1:3" ht="21.9" hidden="1" customHeight="1" outlineLevel="1" x14ac:dyDescent="0.3">
      <c r="A420" s="8" t="s">
        <v>29</v>
      </c>
      <c r="B420" s="12" t="s">
        <v>5</v>
      </c>
      <c r="C420" s="13">
        <v>1</v>
      </c>
    </row>
    <row r="421" spans="1:3" ht="21.9" hidden="1" customHeight="1" outlineLevel="1" x14ac:dyDescent="0.3">
      <c r="A421" s="8" t="s">
        <v>31</v>
      </c>
      <c r="B421" s="12" t="s">
        <v>5</v>
      </c>
      <c r="C421" s="13">
        <v>1</v>
      </c>
    </row>
    <row r="422" spans="1:3" ht="21.9" customHeight="1" collapsed="1" x14ac:dyDescent="0.3">
      <c r="A422" s="22" t="s">
        <v>79</v>
      </c>
      <c r="B422" s="22"/>
      <c r="C422" s="22"/>
    </row>
    <row r="423" spans="1:3" ht="21.9" hidden="1" customHeight="1" outlineLevel="1" x14ac:dyDescent="0.3">
      <c r="A423" s="7" t="s">
        <v>80</v>
      </c>
      <c r="B423" s="10"/>
      <c r="C423" s="11">
        <f>SUM(C424:C434)</f>
        <v>11</v>
      </c>
    </row>
    <row r="424" spans="1:3" ht="21.9" hidden="1" customHeight="1" outlineLevel="1" x14ac:dyDescent="0.3">
      <c r="A424" s="8" t="s">
        <v>49</v>
      </c>
      <c r="B424" s="12" t="s">
        <v>5</v>
      </c>
      <c r="C424" s="13">
        <v>1</v>
      </c>
    </row>
    <row r="425" spans="1:3" ht="21.9" hidden="1" customHeight="1" outlineLevel="1" x14ac:dyDescent="0.3">
      <c r="A425" s="8" t="s">
        <v>42</v>
      </c>
      <c r="B425" s="12" t="s">
        <v>5</v>
      </c>
      <c r="C425" s="13">
        <v>1</v>
      </c>
    </row>
    <row r="426" spans="1:3" ht="21.9" hidden="1" customHeight="1" outlineLevel="1" x14ac:dyDescent="0.3">
      <c r="A426" s="8" t="s">
        <v>30</v>
      </c>
      <c r="B426" s="12" t="s">
        <v>5</v>
      </c>
      <c r="C426" s="13">
        <v>1</v>
      </c>
    </row>
    <row r="427" spans="1:3" ht="21.9" hidden="1" customHeight="1" outlineLevel="1" x14ac:dyDescent="0.3">
      <c r="A427" s="8" t="s">
        <v>23</v>
      </c>
      <c r="B427" s="12" t="s">
        <v>5</v>
      </c>
      <c r="C427" s="13">
        <v>1</v>
      </c>
    </row>
    <row r="428" spans="1:3" ht="21.9" hidden="1" customHeight="1" outlineLevel="1" x14ac:dyDescent="0.3">
      <c r="A428" s="8" t="s">
        <v>24</v>
      </c>
      <c r="B428" s="12" t="s">
        <v>5</v>
      </c>
      <c r="C428" s="13">
        <v>1</v>
      </c>
    </row>
    <row r="429" spans="1:3" ht="21.9" hidden="1" customHeight="1" outlineLevel="1" x14ac:dyDescent="0.3">
      <c r="A429" s="8" t="s">
        <v>25</v>
      </c>
      <c r="B429" s="12" t="s">
        <v>5</v>
      </c>
      <c r="C429" s="13">
        <v>1</v>
      </c>
    </row>
    <row r="430" spans="1:3" ht="21.9" hidden="1" customHeight="1" outlineLevel="1" x14ac:dyDescent="0.3">
      <c r="A430" s="8" t="s">
        <v>26</v>
      </c>
      <c r="B430" s="12" t="s">
        <v>5</v>
      </c>
      <c r="C430" s="13">
        <v>1</v>
      </c>
    </row>
    <row r="431" spans="1:3" ht="21.9" hidden="1" customHeight="1" outlineLevel="1" x14ac:dyDescent="0.3">
      <c r="A431" s="8" t="s">
        <v>27</v>
      </c>
      <c r="B431" s="12" t="s">
        <v>5</v>
      </c>
      <c r="C431" s="13">
        <v>1</v>
      </c>
    </row>
    <row r="432" spans="1:3" ht="21.9" hidden="1" customHeight="1" outlineLevel="1" x14ac:dyDescent="0.3">
      <c r="A432" s="8" t="s">
        <v>28</v>
      </c>
      <c r="B432" s="12" t="s">
        <v>5</v>
      </c>
      <c r="C432" s="13">
        <v>1</v>
      </c>
    </row>
    <row r="433" spans="1:3" ht="21.9" hidden="1" customHeight="1" outlineLevel="1" x14ac:dyDescent="0.3">
      <c r="A433" s="8" t="s">
        <v>29</v>
      </c>
      <c r="B433" s="12" t="s">
        <v>5</v>
      </c>
      <c r="C433" s="13">
        <v>1</v>
      </c>
    </row>
    <row r="434" spans="1:3" ht="21.9" hidden="1" customHeight="1" outlineLevel="1" x14ac:dyDescent="0.3">
      <c r="A434" s="8" t="s">
        <v>31</v>
      </c>
      <c r="B434" s="12" t="s">
        <v>5</v>
      </c>
      <c r="C434" s="13">
        <v>1</v>
      </c>
    </row>
    <row r="435" spans="1:3" ht="21.9" hidden="1" customHeight="1" outlineLevel="1" x14ac:dyDescent="0.3">
      <c r="A435" s="7" t="s">
        <v>81</v>
      </c>
      <c r="B435" s="10"/>
      <c r="C435" s="11">
        <f>SUM(C436)</f>
        <v>1</v>
      </c>
    </row>
    <row r="436" spans="1:3" ht="21.9" hidden="1" customHeight="1" outlineLevel="1" x14ac:dyDescent="0.3">
      <c r="A436" s="8" t="s">
        <v>30</v>
      </c>
      <c r="B436" s="12" t="s">
        <v>3</v>
      </c>
      <c r="C436" s="13">
        <v>1</v>
      </c>
    </row>
    <row r="437" spans="1:3" ht="21.9" hidden="1" customHeight="1" outlineLevel="1" x14ac:dyDescent="0.3">
      <c r="A437" s="7" t="s">
        <v>82</v>
      </c>
      <c r="B437" s="10"/>
      <c r="C437" s="11">
        <f>SUM(C438)</f>
        <v>1</v>
      </c>
    </row>
    <row r="438" spans="1:3" ht="21.9" hidden="1" customHeight="1" outlineLevel="1" x14ac:dyDescent="0.3">
      <c r="A438" s="8" t="s">
        <v>30</v>
      </c>
      <c r="B438" s="12" t="s">
        <v>3</v>
      </c>
      <c r="C438" s="13">
        <v>1</v>
      </c>
    </row>
    <row r="439" spans="1:3" ht="21.9" hidden="1" customHeight="1" outlineLevel="1" x14ac:dyDescent="0.3">
      <c r="A439" s="7" t="s">
        <v>83</v>
      </c>
      <c r="B439" s="10"/>
      <c r="C439" s="11">
        <f>SUM(C440:C446)</f>
        <v>8</v>
      </c>
    </row>
    <row r="440" spans="1:3" ht="21.9" hidden="1" customHeight="1" outlineLevel="1" x14ac:dyDescent="0.3">
      <c r="A440" s="8" t="s">
        <v>23</v>
      </c>
      <c r="B440" s="12" t="s">
        <v>3</v>
      </c>
      <c r="C440" s="13">
        <v>1</v>
      </c>
    </row>
    <row r="441" spans="1:3" ht="21.9" hidden="1" customHeight="1" outlineLevel="1" x14ac:dyDescent="0.3">
      <c r="A441" s="8" t="s">
        <v>24</v>
      </c>
      <c r="B441" s="12" t="s">
        <v>3</v>
      </c>
      <c r="C441" s="13">
        <v>1</v>
      </c>
    </row>
    <row r="442" spans="1:3" ht="21.9" hidden="1" customHeight="1" outlineLevel="1" x14ac:dyDescent="0.3">
      <c r="A442" s="8" t="s">
        <v>25</v>
      </c>
      <c r="B442" s="12" t="s">
        <v>3</v>
      </c>
      <c r="C442" s="13">
        <v>1</v>
      </c>
    </row>
    <row r="443" spans="1:3" ht="21.9" hidden="1" customHeight="1" outlineLevel="1" x14ac:dyDescent="0.3">
      <c r="A443" s="8" t="s">
        <v>26</v>
      </c>
      <c r="B443" s="12" t="s">
        <v>3</v>
      </c>
      <c r="C443" s="13">
        <v>1</v>
      </c>
    </row>
    <row r="444" spans="1:3" ht="21.9" hidden="1" customHeight="1" outlineLevel="1" x14ac:dyDescent="0.3">
      <c r="A444" s="8" t="s">
        <v>27</v>
      </c>
      <c r="B444" s="12" t="s">
        <v>3</v>
      </c>
      <c r="C444" s="13">
        <v>1</v>
      </c>
    </row>
    <row r="445" spans="1:3" ht="21.9" hidden="1" customHeight="1" outlineLevel="1" x14ac:dyDescent="0.3">
      <c r="A445" s="8" t="s">
        <v>28</v>
      </c>
      <c r="B445" s="12" t="s">
        <v>3</v>
      </c>
      <c r="C445" s="13">
        <v>1</v>
      </c>
    </row>
    <row r="446" spans="1:3" ht="21.9" hidden="1" customHeight="1" outlineLevel="1" x14ac:dyDescent="0.3">
      <c r="A446" s="8" t="s">
        <v>29</v>
      </c>
      <c r="B446" s="12" t="s">
        <v>3</v>
      </c>
      <c r="C446" s="13">
        <v>2</v>
      </c>
    </row>
    <row r="447" spans="1:3" ht="21.9" hidden="1" customHeight="1" outlineLevel="1" x14ac:dyDescent="0.3">
      <c r="A447" s="7" t="s">
        <v>84</v>
      </c>
      <c r="B447" s="10"/>
      <c r="C447" s="11">
        <f>SUM(C448:C458)</f>
        <v>11</v>
      </c>
    </row>
    <row r="448" spans="1:3" ht="21.9" hidden="1" customHeight="1" outlineLevel="1" x14ac:dyDescent="0.3">
      <c r="A448" s="8" t="s">
        <v>49</v>
      </c>
      <c r="B448" s="12" t="s">
        <v>5</v>
      </c>
      <c r="C448" s="13">
        <v>1</v>
      </c>
    </row>
    <row r="449" spans="1:3" ht="21.9" hidden="1" customHeight="1" outlineLevel="1" x14ac:dyDescent="0.3">
      <c r="A449" s="8" t="s">
        <v>42</v>
      </c>
      <c r="B449" s="12" t="s">
        <v>5</v>
      </c>
      <c r="C449" s="13">
        <v>1</v>
      </c>
    </row>
    <row r="450" spans="1:3" ht="21.9" hidden="1" customHeight="1" outlineLevel="1" x14ac:dyDescent="0.3">
      <c r="A450" s="8" t="s">
        <v>30</v>
      </c>
      <c r="B450" s="12" t="s">
        <v>5</v>
      </c>
      <c r="C450" s="13">
        <v>1</v>
      </c>
    </row>
    <row r="451" spans="1:3" ht="21.9" hidden="1" customHeight="1" outlineLevel="1" x14ac:dyDescent="0.3">
      <c r="A451" s="8" t="s">
        <v>23</v>
      </c>
      <c r="B451" s="12" t="s">
        <v>5</v>
      </c>
      <c r="C451" s="13">
        <v>1</v>
      </c>
    </row>
    <row r="452" spans="1:3" ht="21.9" hidden="1" customHeight="1" outlineLevel="1" x14ac:dyDescent="0.3">
      <c r="A452" s="8" t="s">
        <v>24</v>
      </c>
      <c r="B452" s="12" t="s">
        <v>5</v>
      </c>
      <c r="C452" s="13">
        <v>1</v>
      </c>
    </row>
    <row r="453" spans="1:3" ht="21.9" hidden="1" customHeight="1" outlineLevel="1" x14ac:dyDescent="0.3">
      <c r="A453" s="8" t="s">
        <v>25</v>
      </c>
      <c r="B453" s="12" t="s">
        <v>5</v>
      </c>
      <c r="C453" s="13">
        <v>1</v>
      </c>
    </row>
    <row r="454" spans="1:3" ht="21.9" hidden="1" customHeight="1" outlineLevel="1" x14ac:dyDescent="0.3">
      <c r="A454" s="8" t="s">
        <v>26</v>
      </c>
      <c r="B454" s="12" t="s">
        <v>5</v>
      </c>
      <c r="C454" s="13">
        <v>1</v>
      </c>
    </row>
    <row r="455" spans="1:3" ht="21.9" hidden="1" customHeight="1" outlineLevel="1" x14ac:dyDescent="0.3">
      <c r="A455" s="8" t="s">
        <v>27</v>
      </c>
      <c r="B455" s="12" t="s">
        <v>5</v>
      </c>
      <c r="C455" s="13">
        <v>1</v>
      </c>
    </row>
    <row r="456" spans="1:3" ht="21.9" hidden="1" customHeight="1" outlineLevel="1" x14ac:dyDescent="0.3">
      <c r="A456" s="8" t="s">
        <v>28</v>
      </c>
      <c r="B456" s="12" t="s">
        <v>5</v>
      </c>
      <c r="C456" s="13">
        <v>1</v>
      </c>
    </row>
    <row r="457" spans="1:3" ht="21.9" hidden="1" customHeight="1" outlineLevel="1" x14ac:dyDescent="0.3">
      <c r="A457" s="8" t="s">
        <v>29</v>
      </c>
      <c r="B457" s="12" t="s">
        <v>5</v>
      </c>
      <c r="C457" s="13">
        <v>1</v>
      </c>
    </row>
    <row r="458" spans="1:3" ht="21.9" hidden="1" customHeight="1" outlineLevel="1" x14ac:dyDescent="0.3">
      <c r="A458" s="8" t="s">
        <v>31</v>
      </c>
      <c r="B458" s="12" t="s">
        <v>5</v>
      </c>
      <c r="C458" s="13">
        <v>1</v>
      </c>
    </row>
    <row r="459" spans="1:3" ht="21.9" hidden="1" customHeight="1" outlineLevel="1" x14ac:dyDescent="0.3">
      <c r="A459" s="7" t="s">
        <v>85</v>
      </c>
      <c r="B459" s="10"/>
      <c r="C459" s="11">
        <f>SUM(C460:C465)</f>
        <v>7</v>
      </c>
    </row>
    <row r="460" spans="1:3" ht="21.9" hidden="1" customHeight="1" outlineLevel="1" x14ac:dyDescent="0.3">
      <c r="A460" s="8" t="s">
        <v>23</v>
      </c>
      <c r="B460" s="12" t="s">
        <v>5</v>
      </c>
      <c r="C460" s="13">
        <v>1</v>
      </c>
    </row>
    <row r="461" spans="1:3" ht="21.9" hidden="1" customHeight="1" outlineLevel="1" x14ac:dyDescent="0.3">
      <c r="A461" s="8" t="s">
        <v>24</v>
      </c>
      <c r="B461" s="12" t="s">
        <v>5</v>
      </c>
      <c r="C461" s="13">
        <v>1</v>
      </c>
    </row>
    <row r="462" spans="1:3" ht="21.9" hidden="1" customHeight="1" outlineLevel="1" x14ac:dyDescent="0.3">
      <c r="A462" s="8" t="s">
        <v>25</v>
      </c>
      <c r="B462" s="12" t="s">
        <v>5</v>
      </c>
      <c r="C462" s="13">
        <v>1</v>
      </c>
    </row>
    <row r="463" spans="1:3" ht="21.9" hidden="1" customHeight="1" outlineLevel="1" x14ac:dyDescent="0.3">
      <c r="A463" s="8" t="s">
        <v>26</v>
      </c>
      <c r="B463" s="12" t="s">
        <v>5</v>
      </c>
      <c r="C463" s="13">
        <v>1</v>
      </c>
    </row>
    <row r="464" spans="1:3" ht="21.9" hidden="1" customHeight="1" outlineLevel="1" x14ac:dyDescent="0.3">
      <c r="A464" s="8" t="s">
        <v>27</v>
      </c>
      <c r="B464" s="12" t="s">
        <v>5</v>
      </c>
      <c r="C464" s="13">
        <v>1</v>
      </c>
    </row>
    <row r="465" spans="1:3" ht="21.9" hidden="1" customHeight="1" outlineLevel="1" x14ac:dyDescent="0.3">
      <c r="A465" s="8" t="s">
        <v>29</v>
      </c>
      <c r="B465" s="12" t="s">
        <v>5</v>
      </c>
      <c r="C465" s="13">
        <v>2</v>
      </c>
    </row>
    <row r="466" spans="1:3" ht="21.9" hidden="1" customHeight="1" outlineLevel="1" x14ac:dyDescent="0.3">
      <c r="A466" s="7" t="s">
        <v>86</v>
      </c>
      <c r="B466" s="10"/>
      <c r="C466" s="11">
        <f>SUM(C467:C472)</f>
        <v>7</v>
      </c>
    </row>
    <row r="467" spans="1:3" ht="21.9" hidden="1" customHeight="1" outlineLevel="1" x14ac:dyDescent="0.3">
      <c r="A467" s="8" t="s">
        <v>23</v>
      </c>
      <c r="B467" s="12" t="s">
        <v>3</v>
      </c>
      <c r="C467" s="13">
        <v>1</v>
      </c>
    </row>
    <row r="468" spans="1:3" ht="21.9" hidden="1" customHeight="1" outlineLevel="1" x14ac:dyDescent="0.3">
      <c r="A468" s="8" t="s">
        <v>24</v>
      </c>
      <c r="B468" s="12" t="s">
        <v>3</v>
      </c>
      <c r="C468" s="13">
        <v>1</v>
      </c>
    </row>
    <row r="469" spans="1:3" ht="21.9" hidden="1" customHeight="1" outlineLevel="1" x14ac:dyDescent="0.3">
      <c r="A469" s="8" t="s">
        <v>25</v>
      </c>
      <c r="B469" s="12" t="s">
        <v>3</v>
      </c>
      <c r="C469" s="13">
        <v>1</v>
      </c>
    </row>
    <row r="470" spans="1:3" ht="21.9" hidden="1" customHeight="1" outlineLevel="1" x14ac:dyDescent="0.3">
      <c r="A470" s="8" t="s">
        <v>26</v>
      </c>
      <c r="B470" s="12" t="s">
        <v>3</v>
      </c>
      <c r="C470" s="13">
        <v>1</v>
      </c>
    </row>
    <row r="471" spans="1:3" ht="21.9" hidden="1" customHeight="1" outlineLevel="1" x14ac:dyDescent="0.3">
      <c r="A471" s="8" t="s">
        <v>27</v>
      </c>
      <c r="B471" s="12" t="s">
        <v>3</v>
      </c>
      <c r="C471" s="13">
        <v>1</v>
      </c>
    </row>
    <row r="472" spans="1:3" ht="21.9" hidden="1" customHeight="1" outlineLevel="1" x14ac:dyDescent="0.3">
      <c r="A472" s="8" t="s">
        <v>29</v>
      </c>
      <c r="B472" s="12" t="s">
        <v>3</v>
      </c>
      <c r="C472" s="13">
        <v>2</v>
      </c>
    </row>
    <row r="473" spans="1:3" ht="21.9" hidden="1" customHeight="1" outlineLevel="1" x14ac:dyDescent="0.3">
      <c r="A473" s="7" t="s">
        <v>87</v>
      </c>
      <c r="B473" s="10"/>
      <c r="C473" s="11">
        <f>SUM(C474)</f>
        <v>40.299999999999997</v>
      </c>
    </row>
    <row r="474" spans="1:3" ht="21.9" hidden="1" customHeight="1" outlineLevel="1" x14ac:dyDescent="0.3">
      <c r="A474" s="8" t="s">
        <v>29</v>
      </c>
      <c r="B474" s="12" t="s">
        <v>88</v>
      </c>
      <c r="C474" s="13">
        <v>40.299999999999997</v>
      </c>
    </row>
    <row r="475" spans="1:3" ht="21.9" customHeight="1" collapsed="1" x14ac:dyDescent="0.3">
      <c r="A475" s="22" t="s">
        <v>89</v>
      </c>
      <c r="B475" s="22"/>
      <c r="C475" s="22"/>
    </row>
    <row r="476" spans="1:3" ht="21.9" hidden="1" customHeight="1" outlineLevel="1" x14ac:dyDescent="0.3">
      <c r="A476" s="7" t="s">
        <v>90</v>
      </c>
      <c r="B476" s="10"/>
      <c r="C476" s="11">
        <f>SUM(C477:C483)</f>
        <v>83.141999999999996</v>
      </c>
    </row>
    <row r="477" spans="1:3" ht="21.9" hidden="1" customHeight="1" outlineLevel="1" x14ac:dyDescent="0.3">
      <c r="A477" s="1" t="s">
        <v>23</v>
      </c>
      <c r="B477" s="5" t="s">
        <v>17</v>
      </c>
      <c r="C477" s="2">
        <v>18.93</v>
      </c>
    </row>
    <row r="478" spans="1:3" ht="21.9" hidden="1" customHeight="1" outlineLevel="1" x14ac:dyDescent="0.3">
      <c r="A478" s="1" t="s">
        <v>24</v>
      </c>
      <c r="B478" s="5" t="s">
        <v>17</v>
      </c>
      <c r="C478" s="2">
        <v>7.9859999999999998</v>
      </c>
    </row>
    <row r="479" spans="1:3" ht="21.9" hidden="1" customHeight="1" outlineLevel="1" x14ac:dyDescent="0.3">
      <c r="A479" s="1" t="s">
        <v>25</v>
      </c>
      <c r="B479" s="5" t="s">
        <v>17</v>
      </c>
      <c r="C479" s="2">
        <v>8.9339999999999993</v>
      </c>
    </row>
    <row r="480" spans="1:3" ht="21.9" hidden="1" customHeight="1" outlineLevel="1" x14ac:dyDescent="0.3">
      <c r="A480" s="1" t="s">
        <v>26</v>
      </c>
      <c r="B480" s="5" t="s">
        <v>17</v>
      </c>
      <c r="C480" s="2">
        <v>7.9859999999999998</v>
      </c>
    </row>
    <row r="481" spans="1:3" ht="21.9" hidden="1" customHeight="1" outlineLevel="1" x14ac:dyDescent="0.3">
      <c r="A481" s="1" t="s">
        <v>27</v>
      </c>
      <c r="B481" s="5" t="s">
        <v>17</v>
      </c>
      <c r="C481" s="2">
        <v>10.757999999999999</v>
      </c>
    </row>
    <row r="482" spans="1:3" ht="21.9" hidden="1" customHeight="1" outlineLevel="1" x14ac:dyDescent="0.3">
      <c r="A482" s="1" t="s">
        <v>28</v>
      </c>
      <c r="B482" s="5" t="s">
        <v>17</v>
      </c>
      <c r="C482" s="2">
        <v>2.0640000000000001</v>
      </c>
    </row>
    <row r="483" spans="1:3" ht="21.9" hidden="1" customHeight="1" outlineLevel="1" x14ac:dyDescent="0.3">
      <c r="A483" s="1" t="s">
        <v>29</v>
      </c>
      <c r="B483" s="5" t="s">
        <v>17</v>
      </c>
      <c r="C483" s="2">
        <v>26.484000000000002</v>
      </c>
    </row>
    <row r="484" spans="1:3" ht="21.9" hidden="1" customHeight="1" outlineLevel="1" x14ac:dyDescent="0.3">
      <c r="A484" s="7" t="s">
        <v>91</v>
      </c>
      <c r="B484" s="10"/>
      <c r="C484" s="11">
        <f>SUM(C485:C491)</f>
        <v>103.56</v>
      </c>
    </row>
    <row r="485" spans="1:3" ht="21.9" hidden="1" customHeight="1" outlineLevel="1" x14ac:dyDescent="0.3">
      <c r="A485" s="1" t="s">
        <v>23</v>
      </c>
      <c r="B485" s="5" t="s">
        <v>17</v>
      </c>
      <c r="C485" s="2">
        <v>22.728000000000002</v>
      </c>
    </row>
    <row r="486" spans="1:3" ht="21.9" hidden="1" customHeight="1" outlineLevel="1" x14ac:dyDescent="0.3">
      <c r="A486" s="1" t="s">
        <v>24</v>
      </c>
      <c r="B486" s="5" t="s">
        <v>17</v>
      </c>
      <c r="C486" s="2">
        <v>9.1859999999999999</v>
      </c>
    </row>
    <row r="487" spans="1:3" ht="21.9" hidden="1" customHeight="1" outlineLevel="1" x14ac:dyDescent="0.3">
      <c r="A487" s="1" t="s">
        <v>25</v>
      </c>
      <c r="B487" s="5" t="s">
        <v>17</v>
      </c>
      <c r="C487" s="2">
        <v>10.512</v>
      </c>
    </row>
    <row r="488" spans="1:3" ht="21.9" hidden="1" customHeight="1" outlineLevel="1" x14ac:dyDescent="0.3">
      <c r="A488" s="1" t="s">
        <v>26</v>
      </c>
      <c r="B488" s="5" t="s">
        <v>17</v>
      </c>
      <c r="C488" s="2">
        <v>9.1859999999999999</v>
      </c>
    </row>
    <row r="489" spans="1:3" ht="21.9" hidden="1" customHeight="1" outlineLevel="1" x14ac:dyDescent="0.3">
      <c r="A489" s="1" t="s">
        <v>27</v>
      </c>
      <c r="B489" s="5" t="s">
        <v>17</v>
      </c>
      <c r="C489" s="2">
        <v>12.75</v>
      </c>
    </row>
    <row r="490" spans="1:3" ht="21.9" hidden="1" customHeight="1" outlineLevel="1" x14ac:dyDescent="0.3">
      <c r="A490" s="1" t="s">
        <v>28</v>
      </c>
      <c r="B490" s="5" t="s">
        <v>17</v>
      </c>
      <c r="C490" s="2">
        <v>2.3279999999999998</v>
      </c>
    </row>
    <row r="491" spans="1:3" ht="21.9" hidden="1" customHeight="1" outlineLevel="1" x14ac:dyDescent="0.3">
      <c r="A491" s="1" t="s">
        <v>29</v>
      </c>
      <c r="B491" s="5" t="s">
        <v>17</v>
      </c>
      <c r="C491" s="2">
        <v>36.869999999999997</v>
      </c>
    </row>
    <row r="492" spans="1:3" ht="21.9" hidden="1" customHeight="1" outlineLevel="1" x14ac:dyDescent="0.3">
      <c r="A492" s="7" t="s">
        <v>92</v>
      </c>
      <c r="B492" s="10"/>
      <c r="C492" s="11">
        <f>SUM(C493:C499)</f>
        <v>83.141999999999996</v>
      </c>
    </row>
    <row r="493" spans="1:3" ht="21.9" hidden="1" customHeight="1" outlineLevel="1" x14ac:dyDescent="0.3">
      <c r="A493" s="1" t="s">
        <v>23</v>
      </c>
      <c r="B493" s="5" t="s">
        <v>17</v>
      </c>
      <c r="C493" s="2">
        <v>18.93</v>
      </c>
    </row>
    <row r="494" spans="1:3" ht="21.9" hidden="1" customHeight="1" outlineLevel="1" x14ac:dyDescent="0.3">
      <c r="A494" s="1" t="s">
        <v>24</v>
      </c>
      <c r="B494" s="5" t="s">
        <v>17</v>
      </c>
      <c r="C494" s="2">
        <v>7.9859999999999998</v>
      </c>
    </row>
    <row r="495" spans="1:3" ht="21.9" hidden="1" customHeight="1" outlineLevel="1" x14ac:dyDescent="0.3">
      <c r="A495" s="1" t="s">
        <v>25</v>
      </c>
      <c r="B495" s="5" t="s">
        <v>17</v>
      </c>
      <c r="C495" s="2">
        <v>8.9339999999999993</v>
      </c>
    </row>
    <row r="496" spans="1:3" ht="21.9" hidden="1" customHeight="1" outlineLevel="1" x14ac:dyDescent="0.3">
      <c r="A496" s="1" t="s">
        <v>26</v>
      </c>
      <c r="B496" s="5" t="s">
        <v>17</v>
      </c>
      <c r="C496" s="2">
        <v>7.9859999999999998</v>
      </c>
    </row>
    <row r="497" spans="1:3" ht="21.9" hidden="1" customHeight="1" outlineLevel="1" x14ac:dyDescent="0.3">
      <c r="A497" s="1" t="s">
        <v>27</v>
      </c>
      <c r="B497" s="5" t="s">
        <v>17</v>
      </c>
      <c r="C497" s="2">
        <v>10.757999999999999</v>
      </c>
    </row>
    <row r="498" spans="1:3" ht="21.9" hidden="1" customHeight="1" outlineLevel="1" x14ac:dyDescent="0.3">
      <c r="A498" s="1" t="s">
        <v>28</v>
      </c>
      <c r="B498" s="5" t="s">
        <v>17</v>
      </c>
      <c r="C498" s="2">
        <v>2.0640000000000001</v>
      </c>
    </row>
    <row r="499" spans="1:3" ht="21.9" hidden="1" customHeight="1" outlineLevel="1" x14ac:dyDescent="0.3">
      <c r="A499" s="1" t="s">
        <v>29</v>
      </c>
      <c r="B499" s="5" t="s">
        <v>17</v>
      </c>
      <c r="C499" s="2">
        <v>26.484000000000002</v>
      </c>
    </row>
    <row r="500" spans="1:3" ht="21.9" hidden="1" customHeight="1" outlineLevel="1" x14ac:dyDescent="0.3">
      <c r="A500" s="7" t="s">
        <v>93</v>
      </c>
      <c r="B500" s="10"/>
      <c r="C500" s="11">
        <f>SUM(C501:C507)</f>
        <v>33.853999999999999</v>
      </c>
    </row>
    <row r="501" spans="1:3" ht="21.9" hidden="1" customHeight="1" outlineLevel="1" x14ac:dyDescent="0.3">
      <c r="A501" s="1" t="s">
        <v>23</v>
      </c>
      <c r="B501" s="5" t="s">
        <v>17</v>
      </c>
      <c r="C501" s="2">
        <v>6.33</v>
      </c>
    </row>
    <row r="502" spans="1:3" ht="21.9" hidden="1" customHeight="1" outlineLevel="1" x14ac:dyDescent="0.3">
      <c r="A502" s="1" t="s">
        <v>24</v>
      </c>
      <c r="B502" s="5" t="s">
        <v>17</v>
      </c>
      <c r="C502" s="2">
        <v>2</v>
      </c>
    </row>
    <row r="503" spans="1:3" ht="21.9" hidden="1" customHeight="1" outlineLevel="1" x14ac:dyDescent="0.3">
      <c r="A503" s="1" t="s">
        <v>25</v>
      </c>
      <c r="B503" s="5" t="s">
        <v>17</v>
      </c>
      <c r="C503" s="2">
        <v>2.63</v>
      </c>
    </row>
    <row r="504" spans="1:3" ht="21.9" hidden="1" customHeight="1" outlineLevel="1" x14ac:dyDescent="0.3">
      <c r="A504" s="1" t="s">
        <v>26</v>
      </c>
      <c r="B504" s="5" t="s">
        <v>17</v>
      </c>
      <c r="C504" s="2">
        <v>2</v>
      </c>
    </row>
    <row r="505" spans="1:3" ht="21.9" hidden="1" customHeight="1" outlineLevel="1" x14ac:dyDescent="0.3">
      <c r="A505" s="1" t="s">
        <v>27</v>
      </c>
      <c r="B505" s="5" t="s">
        <v>17</v>
      </c>
      <c r="C505" s="2">
        <v>3.32</v>
      </c>
    </row>
    <row r="506" spans="1:3" ht="21.9" hidden="1" customHeight="1" outlineLevel="1" x14ac:dyDescent="0.3">
      <c r="A506" s="1" t="s">
        <v>28</v>
      </c>
      <c r="B506" s="5" t="s">
        <v>17</v>
      </c>
      <c r="C506" s="2">
        <v>0.26400000000000001</v>
      </c>
    </row>
    <row r="507" spans="1:3" ht="21.9" hidden="1" customHeight="1" outlineLevel="1" x14ac:dyDescent="0.3">
      <c r="A507" s="1" t="s">
        <v>29</v>
      </c>
      <c r="B507" s="5" t="s">
        <v>17</v>
      </c>
      <c r="C507" s="2">
        <v>17.309999999999999</v>
      </c>
    </row>
    <row r="508" spans="1:3" collapsed="1" x14ac:dyDescent="0.3">
      <c r="A508" s="9"/>
      <c r="B508" s="14"/>
      <c r="C508" s="15"/>
    </row>
  </sheetData>
  <mergeCells count="17">
    <mergeCell ref="A1:C1"/>
    <mergeCell ref="A263:C263"/>
    <mergeCell ref="A298:C298"/>
    <mergeCell ref="A304:C304"/>
    <mergeCell ref="A349:C349"/>
    <mergeCell ref="A2:C2"/>
    <mergeCell ref="A14:C14"/>
    <mergeCell ref="A17:C17"/>
    <mergeCell ref="A20:C20"/>
    <mergeCell ref="A105:C105"/>
    <mergeCell ref="A174:C174"/>
    <mergeCell ref="A422:C422"/>
    <mergeCell ref="A475:C475"/>
    <mergeCell ref="A401:C401"/>
    <mergeCell ref="A410:C410"/>
    <mergeCell ref="A361:C361"/>
    <mergeCell ref="A389:C389"/>
  </mergeCells>
  <pageMargins left="0.25" right="0.25" top="0.75" bottom="0.75" header="0.3" footer="0.3"/>
  <pageSetup paperSize="9" scale="99" fitToHeight="0" orientation="portrait" r:id="rId1"/>
  <headerFooter alignWithMargins="0"/>
  <rowBreaks count="16" manualBreakCount="16">
    <brk id="32" max="16383" man="1"/>
    <brk id="64" max="16383" man="1"/>
    <brk id="97" max="16383" man="1"/>
    <brk id="131" max="16383" man="1"/>
    <brk id="161" max="16383" man="1"/>
    <brk id="188" max="16383" man="1"/>
    <brk id="215" max="16383" man="1"/>
    <brk id="243" max="16383" man="1"/>
    <brk id="276" max="16383" man="1"/>
    <brk id="303" max="16383" man="1"/>
    <brk id="329" max="16383" man="1"/>
    <brk id="360" max="16383" man="1"/>
    <brk id="388" max="16383" man="1"/>
    <brk id="421" max="16383" man="1"/>
    <brk id="446" max="16383" man="1"/>
    <brk id="47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1F70-76E4-46A9-B4F0-708FC7378B15}">
  <dimension ref="A1:C26"/>
  <sheetViews>
    <sheetView topLeftCell="A9" workbookViewId="0">
      <selection activeCell="H18" sqref="H18"/>
    </sheetView>
  </sheetViews>
  <sheetFormatPr baseColWidth="10" defaultRowHeight="14.4" x14ac:dyDescent="0.3"/>
  <cols>
    <col min="1" max="1" width="57.88671875" style="9" bestFit="1" customWidth="1"/>
    <col min="2" max="2" width="3.6640625" style="9" bestFit="1" customWidth="1"/>
    <col min="3" max="3" width="8.109375" style="9" bestFit="1" customWidth="1"/>
  </cols>
  <sheetData>
    <row r="1" spans="1:3" ht="25.2" thickBot="1" x14ac:dyDescent="0.35">
      <c r="A1" s="23" t="s">
        <v>0</v>
      </c>
      <c r="B1" s="24"/>
      <c r="C1" s="25"/>
    </row>
    <row r="2" spans="1:3" x14ac:dyDescent="0.3">
      <c r="A2" s="20" t="s">
        <v>22</v>
      </c>
      <c r="B2" s="20"/>
      <c r="C2" s="21"/>
    </row>
    <row r="3" spans="1:3" x14ac:dyDescent="0.3">
      <c r="A3" s="18" t="s">
        <v>94</v>
      </c>
      <c r="B3" s="18" t="s">
        <v>17</v>
      </c>
      <c r="C3" s="19">
        <v>1252.1500000000001</v>
      </c>
    </row>
    <row r="4" spans="1:3" x14ac:dyDescent="0.3">
      <c r="A4" s="18" t="s">
        <v>95</v>
      </c>
      <c r="B4" s="18" t="s">
        <v>17</v>
      </c>
      <c r="C4" s="19">
        <v>877.53</v>
      </c>
    </row>
    <row r="5" spans="1:3" x14ac:dyDescent="0.3">
      <c r="A5" s="18" t="s">
        <v>99</v>
      </c>
      <c r="B5" s="18" t="s">
        <v>17</v>
      </c>
      <c r="C5" s="19">
        <v>179.51</v>
      </c>
    </row>
    <row r="6" spans="1:3" x14ac:dyDescent="0.3">
      <c r="A6" s="18" t="s">
        <v>96</v>
      </c>
      <c r="B6" s="18" t="s">
        <v>17</v>
      </c>
      <c r="C6" s="19">
        <v>86.34</v>
      </c>
    </row>
    <row r="7" spans="1:3" x14ac:dyDescent="0.3">
      <c r="A7" s="18" t="s">
        <v>100</v>
      </c>
      <c r="B7" s="18" t="s">
        <v>17</v>
      </c>
      <c r="C7" s="19">
        <v>1344.66</v>
      </c>
    </row>
    <row r="8" spans="1:3" x14ac:dyDescent="0.3">
      <c r="A8" s="18" t="s">
        <v>97</v>
      </c>
      <c r="B8" s="18" t="s">
        <v>17</v>
      </c>
      <c r="C8" s="19">
        <v>87.7</v>
      </c>
    </row>
    <row r="9" spans="1:3" x14ac:dyDescent="0.3">
      <c r="A9" s="18" t="s">
        <v>98</v>
      </c>
      <c r="B9" s="18" t="s">
        <v>17</v>
      </c>
      <c r="C9" s="19">
        <v>32.200000000000003</v>
      </c>
    </row>
    <row r="10" spans="1:3" x14ac:dyDescent="0.3">
      <c r="A10" s="18" t="s">
        <v>102</v>
      </c>
      <c r="B10" s="18" t="s">
        <v>17</v>
      </c>
      <c r="C10" s="19">
        <v>34.82</v>
      </c>
    </row>
    <row r="11" spans="1:3" x14ac:dyDescent="0.3">
      <c r="A11" s="18" t="s">
        <v>111</v>
      </c>
      <c r="B11" s="18" t="s">
        <v>17</v>
      </c>
      <c r="C11" s="19">
        <v>2.2999999999999998</v>
      </c>
    </row>
    <row r="12" spans="1:3" x14ac:dyDescent="0.3">
      <c r="A12" s="20" t="s">
        <v>36</v>
      </c>
      <c r="B12" s="20"/>
      <c r="C12" s="21"/>
    </row>
    <row r="13" spans="1:3" x14ac:dyDescent="0.3">
      <c r="A13" s="18" t="s">
        <v>113</v>
      </c>
      <c r="B13" s="18" t="s">
        <v>17</v>
      </c>
      <c r="C13" s="19">
        <v>833.26</v>
      </c>
    </row>
    <row r="14" spans="1:3" x14ac:dyDescent="0.3">
      <c r="A14" s="18" t="s">
        <v>115</v>
      </c>
      <c r="B14" s="18" t="s">
        <v>17</v>
      </c>
      <c r="C14" s="19">
        <v>718.92</v>
      </c>
    </row>
    <row r="15" spans="1:3" x14ac:dyDescent="0.3">
      <c r="A15" s="18" t="s">
        <v>116</v>
      </c>
      <c r="B15" s="18" t="s">
        <v>17</v>
      </c>
      <c r="C15" s="19">
        <v>678.71</v>
      </c>
    </row>
    <row r="16" spans="1:3" x14ac:dyDescent="0.3">
      <c r="A16" s="18" t="s">
        <v>114</v>
      </c>
      <c r="B16" s="18" t="s">
        <v>17</v>
      </c>
      <c r="C16" s="19">
        <v>623.46</v>
      </c>
    </row>
    <row r="17" spans="1:3" x14ac:dyDescent="0.3">
      <c r="A17" s="18" t="s">
        <v>112</v>
      </c>
      <c r="B17" s="18" t="s">
        <v>17</v>
      </c>
      <c r="C17" s="19">
        <v>356.5</v>
      </c>
    </row>
    <row r="18" spans="1:3" x14ac:dyDescent="0.3">
      <c r="A18" s="20" t="s">
        <v>43</v>
      </c>
      <c r="B18" s="20"/>
      <c r="C18" s="21"/>
    </row>
    <row r="19" spans="1:3" x14ac:dyDescent="0.3">
      <c r="A19" s="18" t="s">
        <v>117</v>
      </c>
      <c r="B19" s="18" t="s">
        <v>17</v>
      </c>
      <c r="C19" s="19">
        <v>727.27</v>
      </c>
    </row>
    <row r="20" spans="1:3" x14ac:dyDescent="0.3">
      <c r="A20" s="18" t="s">
        <v>45</v>
      </c>
      <c r="B20" s="18" t="s">
        <v>17</v>
      </c>
      <c r="C20" s="19">
        <v>452.33</v>
      </c>
    </row>
    <row r="21" spans="1:3" x14ac:dyDescent="0.3">
      <c r="A21" s="18" t="s">
        <v>44</v>
      </c>
      <c r="B21" s="18" t="s">
        <v>17</v>
      </c>
      <c r="C21" s="19">
        <v>383.68</v>
      </c>
    </row>
    <row r="22" spans="1:3" x14ac:dyDescent="0.3">
      <c r="A22" s="18" t="s">
        <v>46</v>
      </c>
      <c r="B22" s="18" t="s">
        <v>17</v>
      </c>
      <c r="C22" s="19">
        <v>605.63</v>
      </c>
    </row>
    <row r="23" spans="1:3" x14ac:dyDescent="0.3">
      <c r="A23" s="18" t="s">
        <v>118</v>
      </c>
      <c r="B23" s="18" t="s">
        <v>17</v>
      </c>
      <c r="C23" s="19">
        <v>206.25</v>
      </c>
    </row>
    <row r="24" spans="1:3" x14ac:dyDescent="0.3">
      <c r="A24" s="18" t="s">
        <v>119</v>
      </c>
      <c r="B24" s="18" t="s">
        <v>17</v>
      </c>
      <c r="C24" s="19">
        <v>30.96</v>
      </c>
    </row>
    <row r="25" spans="1:3" x14ac:dyDescent="0.3">
      <c r="A25" s="18" t="s">
        <v>47</v>
      </c>
      <c r="B25" s="18" t="s">
        <v>17</v>
      </c>
      <c r="C25" s="19">
        <v>448.21</v>
      </c>
    </row>
    <row r="26" spans="1:3" x14ac:dyDescent="0.3">
      <c r="A26" s="18" t="s">
        <v>120</v>
      </c>
      <c r="B26" s="18" t="s">
        <v>17</v>
      </c>
      <c r="C26" s="19">
        <v>360.71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FormulaCells/>
</file>

<file path=customXml/item2.xml>��
</file>

<file path=customXml/itemProps1.xml><?xml version="1.0" encoding="utf-8"?>
<ds:datastoreItem xmlns:ds="http://schemas.openxmlformats.org/officeDocument/2006/customXml" ds:itemID="{12EAEA05-9EB5-4F75-ACFB-61B6AD28481F}">
  <ds:schemaRefs/>
</ds:datastoreItem>
</file>

<file path=customXml/itemProps2.xml><?xml version="1.0" encoding="utf-8"?>
<ds:datastoreItem xmlns:ds="http://schemas.openxmlformats.org/officeDocument/2006/customXml" ds:itemID="{CD528E2E-4391-413A-B18F-1EE6B437D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COMPUTO POR NIVELES</vt:lpstr>
      <vt:lpstr>TOTALES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Fabian Grosso</cp:lastModifiedBy>
  <cp:revision/>
  <cp:lastPrinted>2025-12-05T18:53:59Z</cp:lastPrinted>
  <dcterms:created xsi:type="dcterms:W3CDTF">2025-03-12T16:04:12Z</dcterms:created>
  <dcterms:modified xsi:type="dcterms:W3CDTF">2025-12-28T16:00:24Z</dcterms:modified>
  <cp:category/>
  <cp:contentStatus/>
</cp:coreProperties>
</file>