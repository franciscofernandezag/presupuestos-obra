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Google Drive\TÉCNICA\2-Obras de terceros\Arq. Fernando Forchino\19- Cafferata 520\1- Presupuestos\Anteriores\"/>
    </mc:Choice>
  </mc:AlternateContent>
  <xr:revisionPtr revIDLastSave="0" documentId="13_ncr:1_{F343F237-1671-432F-BD74-6A85B7C03CD8}" xr6:coauthVersionLast="36" xr6:coauthVersionMax="36" xr10:uidLastSave="{00000000-0000-0000-0000-000000000000}"/>
  <bookViews>
    <workbookView xWindow="630" yWindow="585" windowWidth="9015" windowHeight="7110" tabRatio="947" xr2:uid="{00000000-000D-0000-FFFF-FFFF00000000}"/>
  </bookViews>
  <sheets>
    <sheet name="Albañileria" sheetId="1" r:id="rId1"/>
    <sheet name="Mamposterias" sheetId="2" r:id="rId2"/>
    <sheet name="Rev. exterior" sheetId="3" r:id="rId3"/>
    <sheet name="Hormigon" sheetId="4" r:id="rId4"/>
    <sheet name="Instalaciones" sheetId="5" r:id="rId5"/>
    <sheet name="Computo" sheetId="7" r:id="rId6"/>
    <sheet name="Analisis" sheetId="22" r:id="rId7"/>
    <sheet name="Estudio" sheetId="23" r:id="rId8"/>
  </sheets>
  <definedNames>
    <definedName name="_xlnm.Print_Area" localSheetId="6">Analisis!#REF!</definedName>
    <definedName name="_xlnm.Print_Area" localSheetId="5">Computo!$A$1:$C$129</definedName>
    <definedName name="_xlnm.Print_Titles" localSheetId="6">Analisis!#REF!</definedName>
    <definedName name="_xlnm.Print_Titles" localSheetId="5">Computo!$1:$1</definedName>
  </definedNames>
  <calcPr calcId="179021"/>
  <extLst>
    <ext uri="GoogleSheetsCustomDataVersion1">
      <go:sheetsCustomData xmlns:go="http://customooxmlschemas.google.com/" r:id="rId24" roundtripDataSignature="AMtx7mgpBnMwGhi2tYuB94OGka0StDA7PA=="/>
    </ext>
  </extLst>
</workbook>
</file>

<file path=xl/calcChain.xml><?xml version="1.0" encoding="utf-8"?>
<calcChain xmlns="http://schemas.openxmlformats.org/spreadsheetml/2006/main">
  <c r="J1" i="1" l="1"/>
  <c r="J8" i="1"/>
  <c r="J7" i="1"/>
  <c r="J6" i="1"/>
  <c r="J31" i="1"/>
  <c r="J22" i="1"/>
  <c r="J17" i="1"/>
  <c r="J11" i="1"/>
  <c r="J3" i="1"/>
  <c r="J10" i="1" l="1"/>
  <c r="J2" i="1" s="1"/>
  <c r="I6" i="23"/>
  <c r="I7" i="23"/>
  <c r="I8" i="23" l="1"/>
  <c r="R14" i="23"/>
  <c r="S14" i="23" s="1"/>
  <c r="N6" i="23"/>
  <c r="N7" i="23"/>
  <c r="N8" i="23"/>
  <c r="N9" i="23"/>
  <c r="N10" i="23"/>
  <c r="N11" i="23"/>
  <c r="N12" i="23"/>
  <c r="N13" i="23"/>
  <c r="N14" i="23"/>
  <c r="N5" i="23"/>
  <c r="G24" i="23"/>
  <c r="F23" i="23"/>
  <c r="H23" i="23" s="1"/>
  <c r="G22" i="23"/>
  <c r="F22" i="23"/>
  <c r="H22" i="23" s="1"/>
  <c r="B22" i="23" s="1"/>
  <c r="J22" i="23" s="1"/>
  <c r="G21" i="23"/>
  <c r="F21" i="23"/>
  <c r="H21" i="23" s="1"/>
  <c r="B21" i="23" s="1"/>
  <c r="J21" i="23" s="1"/>
  <c r="B5" i="23"/>
  <c r="B4" i="23" s="1"/>
  <c r="F26" i="23"/>
  <c r="G25" i="23"/>
  <c r="F25" i="23"/>
  <c r="F24" i="23"/>
  <c r="F20" i="23"/>
  <c r="H20" i="23" s="1"/>
  <c r="G19" i="23"/>
  <c r="F19" i="23"/>
  <c r="G18" i="23"/>
  <c r="F18" i="23"/>
  <c r="H18" i="23" s="1"/>
  <c r="F17" i="23"/>
  <c r="H17" i="23" s="1"/>
  <c r="G16" i="23"/>
  <c r="F16" i="23"/>
  <c r="G15" i="23"/>
  <c r="F15" i="23"/>
  <c r="H26" i="23"/>
  <c r="B26" i="23" s="1"/>
  <c r="J26" i="23" s="1"/>
  <c r="F14" i="23"/>
  <c r="H14" i="23" s="1"/>
  <c r="I14" i="23" s="1"/>
  <c r="C14" i="23"/>
  <c r="S7" i="23"/>
  <c r="S8" i="23"/>
  <c r="S11" i="23"/>
  <c r="S4" i="23"/>
  <c r="R12" i="23"/>
  <c r="S12" i="23" s="1"/>
  <c r="R4" i="23"/>
  <c r="R13" i="23"/>
  <c r="S13" i="23" s="1"/>
  <c r="R10" i="23"/>
  <c r="S10" i="23" s="1"/>
  <c r="R9" i="23"/>
  <c r="S9" i="23" s="1"/>
  <c r="R6" i="23"/>
  <c r="S6" i="23" s="1"/>
  <c r="R5" i="23"/>
  <c r="H24" i="23" l="1"/>
  <c r="B24" i="23" s="1"/>
  <c r="J24" i="23" s="1"/>
  <c r="B18" i="23"/>
  <c r="J18" i="23" s="1"/>
  <c r="I18" i="23"/>
  <c r="I20" i="23"/>
  <c r="B20" i="23"/>
  <c r="J20" i="23" s="1"/>
  <c r="H25" i="23"/>
  <c r="B25" i="23" s="1"/>
  <c r="J25" i="23" s="1"/>
  <c r="H19" i="23"/>
  <c r="B19" i="23" s="1"/>
  <c r="J19" i="23" s="1"/>
  <c r="I17" i="23"/>
  <c r="B17" i="23"/>
  <c r="J17" i="23" s="1"/>
  <c r="B23" i="23"/>
  <c r="J23" i="23" s="1"/>
  <c r="I26" i="23"/>
  <c r="H16" i="23"/>
  <c r="I24" i="23"/>
  <c r="C22" i="23"/>
  <c r="I22" i="23"/>
  <c r="C21" i="23"/>
  <c r="I21" i="23"/>
  <c r="I23" i="23"/>
  <c r="S15" i="23"/>
  <c r="S16" i="23" s="1"/>
  <c r="C6" i="23" s="1"/>
  <c r="H15" i="23"/>
  <c r="R15" i="23"/>
  <c r="R16" i="23" s="1"/>
  <c r="I19" i="23" l="1"/>
  <c r="C23" i="23"/>
  <c r="I25" i="23"/>
  <c r="B16" i="23"/>
  <c r="J16" i="23" s="1"/>
  <c r="I16" i="23"/>
  <c r="B15" i="23"/>
  <c r="J15" i="23" s="1"/>
  <c r="I15" i="23"/>
  <c r="M15" i="23"/>
  <c r="O15" i="23" s="1"/>
  <c r="M14" i="23"/>
  <c r="M13" i="23"/>
  <c r="M12" i="23"/>
  <c r="O12" i="23" s="1"/>
  <c r="M11" i="23"/>
  <c r="M10" i="23"/>
  <c r="M9" i="23"/>
  <c r="O9" i="23" s="1"/>
  <c r="M8" i="23"/>
  <c r="M7" i="23"/>
  <c r="M6" i="23"/>
  <c r="M5" i="23"/>
  <c r="M4" i="23"/>
  <c r="A27" i="23"/>
  <c r="C26" i="23"/>
  <c r="C25" i="23"/>
  <c r="C18" i="23"/>
  <c r="C17" i="23"/>
  <c r="C13" i="23"/>
  <c r="O11" i="23" l="1"/>
  <c r="O13" i="23"/>
  <c r="I27" i="23"/>
  <c r="O10" i="23"/>
  <c r="O14" i="23"/>
  <c r="C20" i="23"/>
  <c r="M16" i="23"/>
  <c r="N20" i="23" s="1"/>
  <c r="C5" i="23"/>
  <c r="I5" i="23" s="1"/>
  <c r="C16" i="23"/>
  <c r="M19" i="23"/>
  <c r="C19" i="23"/>
  <c r="C24" i="23"/>
  <c r="N4" i="23"/>
  <c r="N22" i="23" s="1"/>
  <c r="C15" i="23"/>
  <c r="O16" i="23" l="1"/>
  <c r="H27" i="23"/>
  <c r="C27" i="23"/>
  <c r="N16" i="23"/>
  <c r="N21" i="23" s="1"/>
  <c r="N17" i="23" l="1"/>
  <c r="A4" i="23" s="1"/>
  <c r="C4" i="23" s="1"/>
  <c r="C8" i="23" l="1"/>
  <c r="C33" i="23"/>
  <c r="C34" i="23" s="1"/>
  <c r="C30" i="23"/>
  <c r="I30" i="23"/>
  <c r="I31" i="23" s="1"/>
  <c r="B5" i="22" l="1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D13" i="22"/>
  <c r="D4" i="22"/>
  <c r="D5" i="22"/>
  <c r="D6" i="22"/>
  <c r="D7" i="22"/>
  <c r="D8" i="22"/>
  <c r="D9" i="22"/>
  <c r="D10" i="22"/>
  <c r="D11" i="22"/>
  <c r="D12" i="22"/>
  <c r="C4" i="22"/>
  <c r="B4" i="22"/>
  <c r="D3" i="22"/>
  <c r="B3" i="22"/>
  <c r="C3" i="22" s="1"/>
  <c r="E28" i="1"/>
  <c r="AB27" i="1"/>
  <c r="T27" i="1"/>
  <c r="F27" i="1"/>
  <c r="G27" i="1" s="1"/>
  <c r="E27" i="1"/>
  <c r="M27" i="1" s="1"/>
  <c r="U27" i="1" s="1"/>
  <c r="AB24" i="1"/>
  <c r="T24" i="1"/>
  <c r="R24" i="1"/>
  <c r="L22" i="1"/>
  <c r="N22" i="1"/>
  <c r="S22" i="1"/>
  <c r="V22" i="1"/>
  <c r="E24" i="1"/>
  <c r="Q24" i="1" s="1"/>
  <c r="AB19" i="1"/>
  <c r="T19" i="1"/>
  <c r="R19" i="1"/>
  <c r="F18" i="1"/>
  <c r="G18" i="1" s="1"/>
  <c r="E18" i="1"/>
  <c r="I18" i="1" s="1"/>
  <c r="R27" i="1" l="1"/>
  <c r="P27" i="1"/>
  <c r="O27" i="1"/>
  <c r="Z27" i="1" s="1"/>
  <c r="H27" i="1"/>
  <c r="W27" i="1"/>
  <c r="AB22" i="1"/>
  <c r="AA27" i="1"/>
  <c r="I27" i="1"/>
  <c r="M18" i="1"/>
  <c r="U18" i="1" s="1"/>
  <c r="P18" i="1"/>
  <c r="H18" i="1"/>
  <c r="O18" i="1"/>
  <c r="Z18" i="1" s="1"/>
  <c r="Q18" i="1"/>
  <c r="AA18" i="1" s="1"/>
  <c r="W18" i="1"/>
  <c r="B14" i="22"/>
  <c r="D14" i="22" s="1"/>
  <c r="D15" i="22" s="1"/>
  <c r="D16" i="22" s="1"/>
  <c r="C15" i="22" l="1"/>
  <c r="B15" i="22"/>
  <c r="C16" i="22" l="1"/>
  <c r="A1" i="22" l="1"/>
  <c r="J15" i="4" l="1"/>
  <c r="J16" i="4" s="1"/>
  <c r="I14" i="4"/>
  <c r="E33" i="4"/>
  <c r="E34" i="4"/>
  <c r="F21" i="4" l="1"/>
  <c r="F20" i="4"/>
  <c r="F19" i="4"/>
  <c r="C12" i="2" l="1"/>
  <c r="B12" i="2"/>
  <c r="B11" i="2"/>
  <c r="C11" i="2"/>
  <c r="C10" i="2"/>
  <c r="B10" i="2"/>
  <c r="B9" i="2"/>
  <c r="C9" i="2"/>
  <c r="C8" i="2"/>
  <c r="B8" i="2"/>
  <c r="B7" i="2"/>
  <c r="B4" i="2"/>
  <c r="B5" i="2"/>
  <c r="B6" i="2"/>
  <c r="B3" i="2"/>
  <c r="C7" i="2"/>
  <c r="C4" i="2"/>
  <c r="C5" i="2"/>
  <c r="C6" i="2"/>
  <c r="C3" i="2"/>
  <c r="C15" i="2" l="1"/>
  <c r="C23" i="7"/>
  <c r="C104" i="7" l="1"/>
  <c r="R12" i="1"/>
  <c r="K92" i="7"/>
  <c r="J92" i="7"/>
  <c r="I92" i="7"/>
  <c r="H92" i="7"/>
  <c r="G92" i="7"/>
  <c r="F92" i="7"/>
  <c r="C91" i="7"/>
  <c r="C90" i="7"/>
  <c r="C66" i="7"/>
  <c r="C62" i="7"/>
  <c r="C35" i="7"/>
  <c r="C18" i="7"/>
  <c r="C12" i="7"/>
  <c r="A3" i="4"/>
  <c r="A15" i="4"/>
  <c r="A14" i="4"/>
  <c r="A13" i="4"/>
  <c r="A12" i="4"/>
  <c r="A11" i="4"/>
  <c r="A10" i="4"/>
  <c r="A9" i="4"/>
  <c r="A8" i="4"/>
  <c r="A4" i="4"/>
  <c r="A5" i="4"/>
  <c r="C5" i="4" s="1"/>
  <c r="D5" i="4" s="1"/>
  <c r="A6" i="4"/>
  <c r="A7" i="4"/>
  <c r="D38" i="4"/>
  <c r="D37" i="4"/>
  <c r="D36" i="4"/>
  <c r="D35" i="4"/>
  <c r="D34" i="4"/>
  <c r="D33" i="4"/>
  <c r="D32" i="4"/>
  <c r="D31" i="4"/>
  <c r="G10" i="4"/>
  <c r="F10" i="4"/>
  <c r="A16" i="4" l="1"/>
  <c r="D39" i="4"/>
  <c r="D40" i="4" s="1"/>
  <c r="E39" i="4"/>
  <c r="E40" i="4" s="1"/>
  <c r="A18" i="4"/>
  <c r="C18" i="4" s="1"/>
  <c r="E44" i="4"/>
  <c r="E43" i="4" l="1"/>
  <c r="H5" i="4"/>
  <c r="H9" i="4"/>
  <c r="C17" i="7" s="1"/>
  <c r="H6" i="4"/>
  <c r="H4" i="4"/>
  <c r="H8" i="4"/>
  <c r="C16" i="7" s="1"/>
  <c r="H7" i="4"/>
  <c r="C15" i="7" s="1"/>
  <c r="C13" i="7" l="1"/>
  <c r="H14" i="4"/>
  <c r="J14" i="4" s="1"/>
  <c r="J17" i="4" s="1"/>
  <c r="J18" i="4" s="1"/>
  <c r="C14" i="7"/>
  <c r="H15" i="4"/>
  <c r="C8" i="7" s="1"/>
  <c r="E41" i="4"/>
  <c r="C7" i="7"/>
  <c r="H10" i="4"/>
  <c r="G19" i="4" s="1"/>
  <c r="G20" i="4" s="1"/>
  <c r="O13" i="3" l="1"/>
  <c r="M13" i="3"/>
  <c r="M11" i="3"/>
  <c r="O11" i="3"/>
  <c r="M12" i="3"/>
  <c r="O12" i="3"/>
  <c r="O10" i="3"/>
  <c r="M10" i="3"/>
  <c r="O9" i="3"/>
  <c r="M9" i="3"/>
  <c r="O8" i="3"/>
  <c r="M8" i="3"/>
  <c r="M5" i="3"/>
  <c r="O5" i="3"/>
  <c r="M6" i="3"/>
  <c r="O6" i="3"/>
  <c r="M7" i="3"/>
  <c r="O7" i="3"/>
  <c r="O4" i="3"/>
  <c r="M4" i="3"/>
  <c r="J14" i="3"/>
  <c r="J13" i="3"/>
  <c r="J12" i="3"/>
  <c r="J11" i="3"/>
  <c r="J10" i="3"/>
  <c r="J9" i="3"/>
  <c r="J8" i="3"/>
  <c r="J5" i="3"/>
  <c r="J6" i="3"/>
  <c r="J7" i="3"/>
  <c r="J4" i="3"/>
  <c r="B5" i="3"/>
  <c r="B12" i="3"/>
  <c r="B4" i="3"/>
  <c r="F15" i="3"/>
  <c r="B15" i="3" s="1"/>
  <c r="G15" i="3"/>
  <c r="G14" i="3"/>
  <c r="F14" i="3"/>
  <c r="B14" i="3" s="1"/>
  <c r="F13" i="3"/>
  <c r="B13" i="3" s="1"/>
  <c r="J3" i="3"/>
  <c r="G13" i="3"/>
  <c r="G12" i="3"/>
  <c r="F12" i="3"/>
  <c r="G11" i="3"/>
  <c r="F11" i="3"/>
  <c r="B11" i="3" s="1"/>
  <c r="F10" i="3"/>
  <c r="B10" i="3" s="1"/>
  <c r="G10" i="3"/>
  <c r="F4" i="3"/>
  <c r="F5" i="3"/>
  <c r="F6" i="3"/>
  <c r="B6" i="3" s="1"/>
  <c r="F7" i="3"/>
  <c r="B7" i="3" s="1"/>
  <c r="F8" i="3"/>
  <c r="B8" i="3" s="1"/>
  <c r="F9" i="3"/>
  <c r="B9" i="3" s="1"/>
  <c r="G5" i="3"/>
  <c r="G6" i="3"/>
  <c r="G7" i="3"/>
  <c r="G8" i="3"/>
  <c r="G9" i="3"/>
  <c r="G4" i="3"/>
  <c r="G13" i="2"/>
  <c r="F13" i="2"/>
  <c r="D13" i="2"/>
  <c r="G12" i="2"/>
  <c r="F12" i="2"/>
  <c r="E12" i="2"/>
  <c r="D12" i="2"/>
  <c r="G11" i="2"/>
  <c r="F11" i="2"/>
  <c r="E11" i="2"/>
  <c r="D11" i="2"/>
  <c r="F10" i="2"/>
  <c r="G10" i="2"/>
  <c r="E10" i="2"/>
  <c r="D10" i="2"/>
  <c r="G9" i="2" l="1"/>
  <c r="F9" i="2"/>
  <c r="E9" i="2"/>
  <c r="D9" i="2"/>
  <c r="E8" i="2"/>
  <c r="F8" i="2"/>
  <c r="G8" i="2"/>
  <c r="F7" i="2"/>
  <c r="G7" i="2"/>
  <c r="D8" i="2"/>
  <c r="E7" i="2"/>
  <c r="D7" i="2"/>
  <c r="D4" i="2"/>
  <c r="E4" i="2"/>
  <c r="D5" i="2"/>
  <c r="E5" i="2"/>
  <c r="D6" i="2"/>
  <c r="E6" i="2"/>
  <c r="E3" i="2"/>
  <c r="D3" i="2"/>
  <c r="G4" i="2"/>
  <c r="G5" i="2"/>
  <c r="G6" i="2"/>
  <c r="G3" i="2"/>
  <c r="E2" i="2"/>
  <c r="G2" i="2"/>
  <c r="D2" i="2"/>
  <c r="B2" i="2"/>
  <c r="D21" i="2" l="1"/>
  <c r="C32" i="7" s="1"/>
  <c r="D19" i="2"/>
  <c r="C20" i="7" s="1"/>
  <c r="K31" i="1"/>
  <c r="S31" i="1"/>
  <c r="T31" i="1"/>
  <c r="W31" i="1"/>
  <c r="X31" i="1"/>
  <c r="Y31" i="1"/>
  <c r="AC31" i="1"/>
  <c r="AB34" i="1"/>
  <c r="AB31" i="1" s="1"/>
  <c r="E34" i="1"/>
  <c r="E35" i="1"/>
  <c r="I35" i="1" s="1"/>
  <c r="F35" i="1"/>
  <c r="G35" i="1" s="1"/>
  <c r="E33" i="1"/>
  <c r="H35" i="1" l="1"/>
  <c r="N35" i="1"/>
  <c r="Z35" i="1" s="1"/>
  <c r="Q35" i="1"/>
  <c r="AA35" i="1" s="1"/>
  <c r="M35" i="1"/>
  <c r="L17" i="1" l="1"/>
  <c r="N17" i="1"/>
  <c r="S17" i="1"/>
  <c r="V17" i="1"/>
  <c r="AB17" i="1"/>
  <c r="AB12" i="1"/>
  <c r="T12" i="1"/>
  <c r="R5" i="1"/>
  <c r="F26" i="1"/>
  <c r="G26" i="1" s="1"/>
  <c r="E26" i="1"/>
  <c r="F28" i="1"/>
  <c r="G28" i="1" s="1"/>
  <c r="F25" i="1"/>
  <c r="G25" i="1" s="1"/>
  <c r="E25" i="1"/>
  <c r="F24" i="1"/>
  <c r="G24" i="1" s="1"/>
  <c r="F23" i="1"/>
  <c r="G23" i="1" s="1"/>
  <c r="E23" i="1"/>
  <c r="F21" i="1"/>
  <c r="G21" i="1" s="1"/>
  <c r="E21" i="1"/>
  <c r="F20" i="1"/>
  <c r="G20" i="1" s="1"/>
  <c r="E20" i="1"/>
  <c r="F19" i="1"/>
  <c r="G19" i="1" s="1"/>
  <c r="E19" i="1"/>
  <c r="F16" i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Q12" i="1" s="1"/>
  <c r="E6" i="1"/>
  <c r="F6" i="1"/>
  <c r="E7" i="1"/>
  <c r="X7" i="1" s="1"/>
  <c r="F7" i="1"/>
  <c r="G7" i="1" s="1"/>
  <c r="E8" i="1"/>
  <c r="F8" i="1"/>
  <c r="G8" i="1" s="1"/>
  <c r="Q17" i="1" l="1"/>
  <c r="G6" i="1"/>
  <c r="V6" i="1"/>
  <c r="G16" i="1"/>
  <c r="Y16" i="1"/>
  <c r="T26" i="1"/>
  <c r="T22" i="1" s="1"/>
  <c r="T20" i="1"/>
  <c r="T17" i="1" s="1"/>
  <c r="T15" i="1"/>
  <c r="Y7" i="1"/>
  <c r="H4" i="5"/>
  <c r="H17" i="5"/>
  <c r="H13" i="5" l="1"/>
  <c r="D26" i="5"/>
  <c r="D27" i="5" s="1"/>
  <c r="H11" i="5" l="1"/>
  <c r="H7" i="5"/>
  <c r="H14" i="5" l="1"/>
  <c r="I7" i="5"/>
  <c r="D24" i="5" l="1"/>
  <c r="H24" i="5"/>
  <c r="E11" i="5"/>
  <c r="D12" i="5"/>
  <c r="D13" i="5" s="1"/>
  <c r="H25" i="5" l="1"/>
  <c r="E20" i="5" l="1"/>
  <c r="F20" i="5" s="1"/>
  <c r="E6" i="5"/>
  <c r="F6" i="5" s="1"/>
  <c r="E7" i="5"/>
  <c r="F7" i="5" s="1"/>
  <c r="R101" i="7"/>
  <c r="C101" i="7" s="1"/>
  <c r="R98" i="7"/>
  <c r="C98" i="7" s="1"/>
  <c r="R99" i="7"/>
  <c r="C99" i="7" s="1"/>
  <c r="R100" i="7"/>
  <c r="C100" i="7" s="1"/>
  <c r="R76" i="7"/>
  <c r="C76" i="7" s="1"/>
  <c r="R78" i="7"/>
  <c r="C78" i="7" s="1"/>
  <c r="R81" i="7"/>
  <c r="C81" i="7" s="1"/>
  <c r="R82" i="7"/>
  <c r="C82" i="7" s="1"/>
  <c r="R83" i="7"/>
  <c r="C83" i="7" s="1"/>
  <c r="R84" i="7"/>
  <c r="C84" i="7" s="1"/>
  <c r="R85" i="7"/>
  <c r="C85" i="7" s="1"/>
  <c r="R87" i="7"/>
  <c r="C87" i="7" s="1"/>
  <c r="R92" i="7"/>
  <c r="C92" i="7" s="1"/>
  <c r="R93" i="7"/>
  <c r="C93" i="7" s="1"/>
  <c r="R96" i="7"/>
  <c r="C96" i="7" s="1"/>
  <c r="R97" i="7"/>
  <c r="C97" i="7" s="1"/>
  <c r="R102" i="7"/>
  <c r="C102" i="7" s="1"/>
  <c r="R103" i="7"/>
  <c r="C103" i="7" s="1"/>
  <c r="R75" i="7"/>
  <c r="C75" i="7" s="1"/>
  <c r="C9" i="7"/>
  <c r="Z34" i="1"/>
  <c r="F34" i="1"/>
  <c r="G34" i="1" s="1"/>
  <c r="AA34" i="1"/>
  <c r="L33" i="1"/>
  <c r="L31" i="1" s="1"/>
  <c r="R104" i="7" l="1"/>
  <c r="G14" i="2"/>
  <c r="L11" i="1" l="1"/>
  <c r="L10" i="1" s="1"/>
  <c r="S11" i="1"/>
  <c r="S10" i="1" s="1"/>
  <c r="Q33" i="1"/>
  <c r="Q31" i="1" s="1"/>
  <c r="Y22" i="1"/>
  <c r="AC26" i="1"/>
  <c r="AC22" i="1" s="1"/>
  <c r="Q28" i="1"/>
  <c r="AA28" i="1" s="1"/>
  <c r="M25" i="1"/>
  <c r="I24" i="1"/>
  <c r="I23" i="1"/>
  <c r="AC20" i="1"/>
  <c r="AC17" i="1" s="1"/>
  <c r="AB11" i="1"/>
  <c r="AB10" i="1" s="1"/>
  <c r="W3" i="1"/>
  <c r="K3" i="1"/>
  <c r="L3" i="1"/>
  <c r="L2" i="1" s="1"/>
  <c r="S3" i="1"/>
  <c r="S2" i="1" s="1"/>
  <c r="AC3" i="1"/>
  <c r="AB3" i="1"/>
  <c r="F33" i="1"/>
  <c r="G33" i="1" s="1"/>
  <c r="N33" i="1" s="1"/>
  <c r="N31" i="1" s="1"/>
  <c r="F32" i="1"/>
  <c r="G32" i="1" s="1"/>
  <c r="E32" i="1"/>
  <c r="X16" i="1"/>
  <c r="H14" i="1"/>
  <c r="X8" i="1"/>
  <c r="AB2" i="1" l="1"/>
  <c r="U25" i="1"/>
  <c r="E5" i="1"/>
  <c r="F5" i="1"/>
  <c r="G5" i="1" s="1"/>
  <c r="Z5" i="1" s="1"/>
  <c r="Z33" i="1"/>
  <c r="P24" i="1"/>
  <c r="W24" i="1"/>
  <c r="P19" i="1"/>
  <c r="W19" i="1"/>
  <c r="W17" i="1" s="1"/>
  <c r="W12" i="1"/>
  <c r="K22" i="1"/>
  <c r="X22" i="1"/>
  <c r="Y21" i="1"/>
  <c r="Y17" i="1" s="1"/>
  <c r="K21" i="1"/>
  <c r="K17" i="1" s="1"/>
  <c r="X21" i="1"/>
  <c r="X17" i="1" s="1"/>
  <c r="H25" i="1"/>
  <c r="W25" i="1"/>
  <c r="H28" i="1"/>
  <c r="W28" i="1"/>
  <c r="H23" i="1"/>
  <c r="W23" i="1"/>
  <c r="X3" i="1"/>
  <c r="T11" i="1"/>
  <c r="T10" i="1" s="1"/>
  <c r="Y11" i="1"/>
  <c r="N11" i="1"/>
  <c r="N10" i="1" s="1"/>
  <c r="N8" i="1"/>
  <c r="Z8" i="1" s="1"/>
  <c r="Y8" i="1"/>
  <c r="I20" i="1"/>
  <c r="R20" i="1"/>
  <c r="R17" i="1" s="1"/>
  <c r="I26" i="1"/>
  <c r="R26" i="1"/>
  <c r="R22" i="1" s="1"/>
  <c r="X11" i="1"/>
  <c r="H20" i="1"/>
  <c r="H26" i="1"/>
  <c r="W14" i="1"/>
  <c r="W13" i="1"/>
  <c r="M26" i="1"/>
  <c r="U26" i="1" s="1"/>
  <c r="AA19" i="1"/>
  <c r="O26" i="1"/>
  <c r="Z26" i="1" s="1"/>
  <c r="P20" i="1"/>
  <c r="O20" i="1"/>
  <c r="Z20" i="1" s="1"/>
  <c r="P23" i="1"/>
  <c r="P26" i="1"/>
  <c r="P28" i="1"/>
  <c r="M24" i="1"/>
  <c r="U24" i="1" s="1"/>
  <c r="O28" i="1"/>
  <c r="Z28" i="1" s="1"/>
  <c r="M23" i="1"/>
  <c r="U23" i="1" s="1"/>
  <c r="AA24" i="1"/>
  <c r="P25" i="1"/>
  <c r="Q25" i="1"/>
  <c r="I28" i="1"/>
  <c r="Q23" i="1"/>
  <c r="M28" i="1"/>
  <c r="U28" i="1" s="1"/>
  <c r="H24" i="1"/>
  <c r="I25" i="1"/>
  <c r="M20" i="1"/>
  <c r="U20" i="1" s="1"/>
  <c r="I19" i="1"/>
  <c r="M19" i="1"/>
  <c r="I21" i="1"/>
  <c r="X10" i="1" l="1"/>
  <c r="X2" i="1" s="1"/>
  <c r="Y10" i="1"/>
  <c r="M22" i="1"/>
  <c r="U22" i="1"/>
  <c r="W22" i="1"/>
  <c r="P22" i="1"/>
  <c r="I22" i="1"/>
  <c r="H22" i="1"/>
  <c r="AA25" i="1"/>
  <c r="Q22" i="1"/>
  <c r="P17" i="1"/>
  <c r="U19" i="1"/>
  <c r="U17" i="1" s="1"/>
  <c r="M17" i="1"/>
  <c r="I17" i="1"/>
  <c r="AA20" i="1"/>
  <c r="AA17" i="1" s="1"/>
  <c r="AA26" i="1"/>
  <c r="Y3" i="1"/>
  <c r="O23" i="1"/>
  <c r="Z23" i="1" s="1"/>
  <c r="O25" i="1"/>
  <c r="Z25" i="1" s="1"/>
  <c r="W11" i="1"/>
  <c r="O19" i="1"/>
  <c r="H19" i="1"/>
  <c r="AA23" i="1"/>
  <c r="C121" i="7"/>
  <c r="O24" i="1"/>
  <c r="Y2" i="1" l="1"/>
  <c r="W10" i="1"/>
  <c r="W2" i="1" s="1"/>
  <c r="AA22" i="1"/>
  <c r="Z24" i="1"/>
  <c r="Z22" i="1" s="1"/>
  <c r="O22" i="1"/>
  <c r="Z19" i="1"/>
  <c r="Z17" i="1" s="1"/>
  <c r="O17" i="1"/>
  <c r="C59" i="7"/>
  <c r="C57" i="7"/>
  <c r="C61" i="7" l="1"/>
  <c r="C72" i="7" l="1"/>
  <c r="D18" i="5"/>
  <c r="E18" i="5" s="1"/>
  <c r="F18" i="5" s="1"/>
  <c r="D17" i="5"/>
  <c r="E17" i="5" s="1"/>
  <c r="F17" i="5" s="1"/>
  <c r="D5" i="5"/>
  <c r="E5" i="5" s="1"/>
  <c r="D4" i="5"/>
  <c r="E4" i="5" s="1"/>
  <c r="F4" i="5" s="1"/>
  <c r="N16" i="3"/>
  <c r="B16" i="3"/>
  <c r="C38" i="7" s="1"/>
  <c r="M16" i="3"/>
  <c r="J16" i="3"/>
  <c r="C36" i="7" s="1"/>
  <c r="G15" i="2"/>
  <c r="C26" i="7" s="1"/>
  <c r="E15" i="2"/>
  <c r="AA33" i="1"/>
  <c r="I32" i="1"/>
  <c r="I31" i="1" s="1"/>
  <c r="R32" i="1"/>
  <c r="R31" i="1" s="1"/>
  <c r="K16" i="1"/>
  <c r="AC15" i="1"/>
  <c r="AC11" i="1" s="1"/>
  <c r="P15" i="1"/>
  <c r="P14" i="1"/>
  <c r="Q14" i="1"/>
  <c r="AA14" i="1" s="1"/>
  <c r="Q13" i="1"/>
  <c r="P12" i="1"/>
  <c r="AA12" i="1"/>
  <c r="M8" i="1"/>
  <c r="AA5" i="1"/>
  <c r="H5" i="1"/>
  <c r="I7" i="1"/>
  <c r="P6" i="1"/>
  <c r="R6" i="1"/>
  <c r="F4" i="1"/>
  <c r="E4" i="1"/>
  <c r="C63" i="7" s="1"/>
  <c r="H5" i="5" l="1"/>
  <c r="H8" i="5" s="1"/>
  <c r="H9" i="5" s="1"/>
  <c r="F5" i="5"/>
  <c r="D8" i="5"/>
  <c r="D9" i="5" s="1"/>
  <c r="E9" i="5" s="1"/>
  <c r="F8" i="5"/>
  <c r="F9" i="5" s="1"/>
  <c r="F16" i="2"/>
  <c r="C29" i="7" s="1"/>
  <c r="AC10" i="1"/>
  <c r="AC2" i="1" s="1"/>
  <c r="AA13" i="1"/>
  <c r="Q11" i="1"/>
  <c r="Q10" i="1" s="1"/>
  <c r="AA32" i="1"/>
  <c r="AA31" i="1" s="1"/>
  <c r="AA6" i="1"/>
  <c r="M32" i="1"/>
  <c r="M31" i="1" s="1"/>
  <c r="I14" i="1"/>
  <c r="O15" i="1"/>
  <c r="Z15" i="1" s="1"/>
  <c r="P7" i="1"/>
  <c r="H15" i="1"/>
  <c r="I8" i="1"/>
  <c r="I13" i="1"/>
  <c r="G4" i="1"/>
  <c r="M7" i="1"/>
  <c r="I12" i="1"/>
  <c r="I16" i="1"/>
  <c r="M14" i="1"/>
  <c r="U14" i="1" s="1"/>
  <c r="H8" i="1"/>
  <c r="H13" i="1"/>
  <c r="O13" i="1"/>
  <c r="Z13" i="1" s="1"/>
  <c r="R4" i="1"/>
  <c r="H6" i="1"/>
  <c r="Q8" i="1"/>
  <c r="Q3" i="1" s="1"/>
  <c r="P13" i="1"/>
  <c r="P11" i="1" s="1"/>
  <c r="P10" i="1" s="1"/>
  <c r="H33" i="1"/>
  <c r="I6" i="1"/>
  <c r="R7" i="1"/>
  <c r="AA7" i="1" s="1"/>
  <c r="M6" i="1"/>
  <c r="O6" i="1"/>
  <c r="Z6" i="1" s="1"/>
  <c r="R15" i="1"/>
  <c r="M15" i="1"/>
  <c r="U15" i="1" s="1"/>
  <c r="I15" i="1"/>
  <c r="V32" i="1"/>
  <c r="V31" i="1" s="1"/>
  <c r="P32" i="1"/>
  <c r="P31" i="1" s="1"/>
  <c r="O14" i="1"/>
  <c r="Z14" i="1" s="1"/>
  <c r="V11" i="1"/>
  <c r="V10" i="1" s="1"/>
  <c r="M13" i="1"/>
  <c r="U13" i="1" s="1"/>
  <c r="F15" i="2"/>
  <c r="H19" i="5"/>
  <c r="H21" i="5" s="1"/>
  <c r="M12" i="1"/>
  <c r="U12" i="1" s="1"/>
  <c r="O16" i="3"/>
  <c r="D15" i="2"/>
  <c r="C28" i="7" s="1"/>
  <c r="B15" i="2"/>
  <c r="C27" i="7" s="1"/>
  <c r="Q2" i="1" l="1"/>
  <c r="I9" i="5"/>
  <c r="I14" i="5"/>
  <c r="J14" i="5" s="1"/>
  <c r="I24" i="5"/>
  <c r="I25" i="5" s="1"/>
  <c r="N3" i="1"/>
  <c r="Z4" i="1"/>
  <c r="I11" i="1"/>
  <c r="I10" i="1" s="1"/>
  <c r="K11" i="1"/>
  <c r="M11" i="1"/>
  <c r="M10" i="1" s="1"/>
  <c r="U32" i="1"/>
  <c r="U31" i="1" s="1"/>
  <c r="AA15" i="1"/>
  <c r="R11" i="1"/>
  <c r="R10" i="1" s="1"/>
  <c r="C69" i="7"/>
  <c r="C70" i="7"/>
  <c r="V3" i="1"/>
  <c r="V2" i="1" s="1"/>
  <c r="P3" i="1"/>
  <c r="P2" i="1" s="1"/>
  <c r="U6" i="1"/>
  <c r="M3" i="1"/>
  <c r="M2" i="1" s="1"/>
  <c r="I3" i="1"/>
  <c r="C44" i="7"/>
  <c r="R3" i="1"/>
  <c r="R2" i="1" s="1"/>
  <c r="H4" i="1"/>
  <c r="F3" i="3" s="1"/>
  <c r="F16" i="3" s="1"/>
  <c r="C116" i="7" s="1"/>
  <c r="C16" i="3"/>
  <c r="C39" i="7" s="1"/>
  <c r="G16" i="3"/>
  <c r="C115" i="7" s="1"/>
  <c r="AA4" i="1"/>
  <c r="H12" i="1"/>
  <c r="O12" i="1"/>
  <c r="Z12" i="1" s="1"/>
  <c r="D19" i="5"/>
  <c r="F19" i="5" s="1"/>
  <c r="AA8" i="1"/>
  <c r="O17" i="3"/>
  <c r="O32" i="1"/>
  <c r="O31" i="1" s="1"/>
  <c r="H32" i="1"/>
  <c r="H31" i="1" s="1"/>
  <c r="T3" i="1"/>
  <c r="T2" i="1" s="1"/>
  <c r="H7" i="1"/>
  <c r="O7" i="1"/>
  <c r="Z7" i="1" s="1"/>
  <c r="N2" i="1" l="1"/>
  <c r="C40" i="7" s="1"/>
  <c r="I2" i="1"/>
  <c r="C118" i="7"/>
  <c r="C19" i="7"/>
  <c r="K10" i="1"/>
  <c r="K2" i="1" s="1"/>
  <c r="C60" i="7"/>
  <c r="D61" i="7" s="1"/>
  <c r="D116" i="7"/>
  <c r="Z32" i="1"/>
  <c r="Z31" i="1" s="1"/>
  <c r="D21" i="5"/>
  <c r="D22" i="5" s="1"/>
  <c r="F21" i="5"/>
  <c r="F22" i="5" s="1"/>
  <c r="D72" i="7"/>
  <c r="AA11" i="1"/>
  <c r="AA10" i="1" s="1"/>
  <c r="O11" i="1"/>
  <c r="O10" i="1" s="1"/>
  <c r="C47" i="7"/>
  <c r="AA3" i="1"/>
  <c r="AA2" i="1" s="1"/>
  <c r="O3" i="1"/>
  <c r="Z3" i="1"/>
  <c r="Z2" i="1" s="1"/>
  <c r="U3" i="1"/>
  <c r="C54" i="7"/>
  <c r="C64" i="7"/>
  <c r="H11" i="1"/>
  <c r="H3" i="1"/>
  <c r="H17" i="1"/>
  <c r="Z11" i="1"/>
  <c r="Z10" i="1" s="1"/>
  <c r="O2" i="1" l="1"/>
  <c r="H10" i="1"/>
  <c r="H2" i="1" s="1"/>
  <c r="C117" i="7"/>
  <c r="C51" i="7"/>
  <c r="C45" i="7"/>
  <c r="C46" i="7"/>
  <c r="U11" i="1"/>
  <c r="U10" i="1" l="1"/>
  <c r="C37" i="7"/>
  <c r="C114" i="7"/>
  <c r="C53" i="7"/>
  <c r="C52" i="7"/>
  <c r="U2" i="1" l="1"/>
  <c r="C58" i="7" s="1"/>
  <c r="D53" i="7"/>
  <c r="C43" i="7"/>
</calcChain>
</file>

<file path=xl/sharedStrings.xml><?xml version="1.0" encoding="utf-8"?>
<sst xmlns="http://schemas.openxmlformats.org/spreadsheetml/2006/main" count="438" uniqueCount="300">
  <si>
    <t>LARGO</t>
  </si>
  <si>
    <t>ANCHO</t>
  </si>
  <si>
    <t>ALTURA</t>
  </si>
  <si>
    <t>SUPERFICIE</t>
  </si>
  <si>
    <t>PERIMETRO</t>
  </si>
  <si>
    <t>SUPERFICIE LATERAL</t>
  </si>
  <si>
    <t>GRUESOS INTERIORES</t>
  </si>
  <si>
    <t>CONTRAPISO DE 0,10</t>
  </si>
  <si>
    <t>CARPETA + IMPERM</t>
  </si>
  <si>
    <t>CARPETAS ESCALERAS</t>
  </si>
  <si>
    <t>CARPETAS DE CEMENTO</t>
  </si>
  <si>
    <t>ENDUIDO</t>
  </si>
  <si>
    <t>BUÑAS EN CIELORRASOS</t>
  </si>
  <si>
    <t>CIELORRASO APLICADO</t>
  </si>
  <si>
    <t>CIELORRASO SUSPENDIDO</t>
  </si>
  <si>
    <t>CANTONERA</t>
  </si>
  <si>
    <t>REVEST. CERAMICOS</t>
  </si>
  <si>
    <t>PISO PORCELANATO</t>
  </si>
  <si>
    <t>ZOC. PORCELANATO</t>
  </si>
  <si>
    <t>LATEX INTERIOR</t>
  </si>
  <si>
    <t>LATEX CIELORRASOS</t>
  </si>
  <si>
    <t>MESADA GRANITO</t>
  </si>
  <si>
    <t>ZOCALO DUCHA</t>
  </si>
  <si>
    <t>TOTALES</t>
  </si>
  <si>
    <t>PLANTA BAJA</t>
  </si>
  <si>
    <t>HALL INGRESO</t>
  </si>
  <si>
    <t>BAÑO</t>
  </si>
  <si>
    <t>COCHERA</t>
  </si>
  <si>
    <t>SALA DE BOMBAS</t>
  </si>
  <si>
    <t>DPTO A</t>
  </si>
  <si>
    <t>COCINA COMEDOR</t>
  </si>
  <si>
    <t>DORMITORIO</t>
  </si>
  <si>
    <t>BALCON FRENTE</t>
  </si>
  <si>
    <t>DPTO B</t>
  </si>
  <si>
    <t>DPTO C</t>
  </si>
  <si>
    <t>AZOTEA</t>
  </si>
  <si>
    <t>PALIER Y ESCALERA</t>
  </si>
  <si>
    <t>PALIER</t>
  </si>
  <si>
    <t>ESCALERAS</t>
  </si>
  <si>
    <t>SALA DE MAQUINAS</t>
  </si>
  <si>
    <t>MAMP. LAD. CER. HUECO 18 CM</t>
  </si>
  <si>
    <t>MAMP. LAD. CER. HUECO 12 CM</t>
  </si>
  <si>
    <t>MAMP. LAD. CER. HUECO  8 CM</t>
  </si>
  <si>
    <t>PB</t>
  </si>
  <si>
    <t>S. MAQ.</t>
  </si>
  <si>
    <t>TOTAL</t>
  </si>
  <si>
    <t>HORMIGON CIMIENTOS =</t>
  </si>
  <si>
    <t>CAPA AISLADORA =</t>
  </si>
  <si>
    <t xml:space="preserve">REVOQUE EXTERIOR </t>
  </si>
  <si>
    <t>FRENTES</t>
  </si>
  <si>
    <t>MEDIANERA</t>
  </si>
  <si>
    <t xml:space="preserve">PINTURA EXTERIOR </t>
  </si>
  <si>
    <t>FRENTE</t>
  </si>
  <si>
    <t>AZOT. IMPERMEABLE + PINTURA ASFALTICA</t>
  </si>
  <si>
    <t>HORMIGON VISTO</t>
  </si>
  <si>
    <t>TECHOS + ALEROS</t>
  </si>
  <si>
    <t>LOSAS TABLA</t>
  </si>
  <si>
    <t>BARANDAS</t>
  </si>
  <si>
    <t>VOL HORMIGON APROXIMADO</t>
  </si>
  <si>
    <t>1º</t>
  </si>
  <si>
    <t>PILOTES</t>
  </si>
  <si>
    <t>2º</t>
  </si>
  <si>
    <t>CABEZALES</t>
  </si>
  <si>
    <t>3º</t>
  </si>
  <si>
    <t>4º</t>
  </si>
  <si>
    <t>VIGAS DE FUND</t>
  </si>
  <si>
    <t>5º</t>
  </si>
  <si>
    <t>TABIQUES</t>
  </si>
  <si>
    <t>6º</t>
  </si>
  <si>
    <t xml:space="preserve">VIGAS </t>
  </si>
  <si>
    <t>AZ</t>
  </si>
  <si>
    <t>SM</t>
  </si>
  <si>
    <t>LOSAS</t>
  </si>
  <si>
    <t>Materiales electricos</t>
  </si>
  <si>
    <t>Electrinet</t>
  </si>
  <si>
    <t>Artefactos iluminacion</t>
  </si>
  <si>
    <t>Termotanques</t>
  </si>
  <si>
    <t>Cocinas electricas</t>
  </si>
  <si>
    <t>Materiales sanitarios</t>
  </si>
  <si>
    <t>Cloaca</t>
  </si>
  <si>
    <t>Agual</t>
  </si>
  <si>
    <t>u</t>
  </si>
  <si>
    <t>Puertas placas 70 cm</t>
  </si>
  <si>
    <t>Carpintería metálica:</t>
  </si>
  <si>
    <t>Puerta celosia 0,70x2,50m</t>
  </si>
  <si>
    <t>Ítems</t>
  </si>
  <si>
    <t>U</t>
  </si>
  <si>
    <t>Cantidad</t>
  </si>
  <si>
    <t>Tareas preliminares:</t>
  </si>
  <si>
    <t>Replanteo y nivelación</t>
  </si>
  <si>
    <t>gl</t>
  </si>
  <si>
    <t>Movimiento de suelos:</t>
  </si>
  <si>
    <t>Perforación pilotes</t>
  </si>
  <si>
    <t>ml</t>
  </si>
  <si>
    <t>Excavación para cabezales y vigas de fundación</t>
  </si>
  <si>
    <t>m3</t>
  </si>
  <si>
    <t>Relleno y compactación de excavaciones</t>
  </si>
  <si>
    <t>Estructura resistente:</t>
  </si>
  <si>
    <t>Picado de paredes para estructura</t>
  </si>
  <si>
    <t>m2</t>
  </si>
  <si>
    <t>Hormigón armado pilotes</t>
  </si>
  <si>
    <t>Hormigón armado tabiques y columnas</t>
  </si>
  <si>
    <t>Hormigón armado vigas</t>
  </si>
  <si>
    <t>Hormigón armado losas</t>
  </si>
  <si>
    <t>Hormigón armado escaleras</t>
  </si>
  <si>
    <t>Superficie de hormigón visto balcones fenolico</t>
  </si>
  <si>
    <t>Hormigón de cascote cimientos</t>
  </si>
  <si>
    <t>Cubierta de techo:</t>
  </si>
  <si>
    <t>Mamposterías:</t>
  </si>
  <si>
    <t>Mampostería de ladrillos cerámicos huecos 18 x 18 x 33 cm</t>
  </si>
  <si>
    <t>Mampostería de ladrillos cerámicos huecos 12 x 18 x 33 cm</t>
  </si>
  <si>
    <t>Mampostería de ladrillos cerámicos huecos 8 x 18 x 33 cm</t>
  </si>
  <si>
    <t>Aislaciones:</t>
  </si>
  <si>
    <t>Capa ailadora horizontal</t>
  </si>
  <si>
    <t>Revoques:</t>
  </si>
  <si>
    <t>Picado de revoques existentes</t>
  </si>
  <si>
    <t>Azotado impermeable</t>
  </si>
  <si>
    <t>Revoque grueso interior</t>
  </si>
  <si>
    <t>Yesería y Durlock:</t>
  </si>
  <si>
    <t>Enduido de yeso en paredes</t>
  </si>
  <si>
    <t>Cantoneras</t>
  </si>
  <si>
    <t>Cielorraso aplicado yeso</t>
  </si>
  <si>
    <t>Cielorraso suspendido yeso</t>
  </si>
  <si>
    <t>Corte de pintura perimetral</t>
  </si>
  <si>
    <t>Contrapisos:</t>
  </si>
  <si>
    <t>Banquinas bajo mesadas cocinas</t>
  </si>
  <si>
    <t>Hormigón pobre sobre losa</t>
  </si>
  <si>
    <t>Carpeta de cemento alisado</t>
  </si>
  <si>
    <t>Carpeta de cemento alisado en escaleras</t>
  </si>
  <si>
    <t>Pisos y revestimientos:</t>
  </si>
  <si>
    <t>Cerámico</t>
  </si>
  <si>
    <t>Mosaicos reglamentarios en vereda (incluye contrapiso)</t>
  </si>
  <si>
    <t>Revestimiento cerámico en paredes de baños y cocinas</t>
  </si>
  <si>
    <t>Revestimiento hall de ingreso (sólo colocación)</t>
  </si>
  <si>
    <t>Solias aluminio</t>
  </si>
  <si>
    <t>Marmolería:</t>
  </si>
  <si>
    <t>Mesada de granito con bachas cc28</t>
  </si>
  <si>
    <t>Zócalos de ducha</t>
  </si>
  <si>
    <t>Umbral en ingreso</t>
  </si>
  <si>
    <t>Piso mármol ascensor</t>
  </si>
  <si>
    <t>Carpintería Madera (sólo colocación):</t>
  </si>
  <si>
    <t>Muebles de cocina</t>
  </si>
  <si>
    <t>Puertas cortafuego caja de escalera</t>
  </si>
  <si>
    <t>Portón cochera</t>
  </si>
  <si>
    <t>Tablero electricidad</t>
  </si>
  <si>
    <t>Herrería:</t>
  </si>
  <si>
    <t>Pasamanos escaleras</t>
  </si>
  <si>
    <t>Baranda metálicas escaleras</t>
  </si>
  <si>
    <t>Escalera caracol a sala de máquinas</t>
  </si>
  <si>
    <t>Carpintería aluminio:</t>
  </si>
  <si>
    <t>Instalación sanitaria:</t>
  </si>
  <si>
    <t>Instalación eléctrica:</t>
  </si>
  <si>
    <t>Instalación ascensor:</t>
  </si>
  <si>
    <t>Pintura:</t>
  </si>
  <si>
    <t>Muros interiores al latex</t>
  </si>
  <si>
    <t>Muros exteriores medianeras (pintura impermeable)</t>
  </si>
  <si>
    <t>Revestimiento plástico frente, contrafrente y patios</t>
  </si>
  <si>
    <t>Latex cielorrasos</t>
  </si>
  <si>
    <t>Curado y pintura transparente h° visto</t>
  </si>
  <si>
    <t>Esmalte sintético en marcos de puertas placas, pasamanos y barandas metálicas</t>
  </si>
  <si>
    <t>Piso escaleras</t>
  </si>
  <si>
    <t>Varios:</t>
  </si>
  <si>
    <t>Instalación matafuegos reglamentarios</t>
  </si>
  <si>
    <t>Colocación accesorios de baños</t>
  </si>
  <si>
    <t>Limpieza de obra</t>
  </si>
  <si>
    <t>Ayuda de gremios</t>
  </si>
  <si>
    <t>Inspector descarga de materiales</t>
  </si>
  <si>
    <t>Mampostería de ladrillos comunes doble espesor 15 cm</t>
  </si>
  <si>
    <t>Mano de obra:</t>
  </si>
  <si>
    <t>Cubierta metálica</t>
  </si>
  <si>
    <t>INGRESO VEHICULAR</t>
  </si>
  <si>
    <t>INGRESO</t>
  </si>
  <si>
    <t>PASO</t>
  </si>
  <si>
    <t>7º</t>
  </si>
  <si>
    <t>8º</t>
  </si>
  <si>
    <t>9º</t>
  </si>
  <si>
    <t>10º</t>
  </si>
  <si>
    <t>MAMP. LAD. HUECO 8 CM DOBLE</t>
  </si>
  <si>
    <t>Demolición y limpieza del terreno</t>
  </si>
  <si>
    <t>Hormigón armado cabezales y vigas de fundación</t>
  </si>
  <si>
    <t>Revoque grueso fratazado exterior</t>
  </si>
  <si>
    <t>Revoque grueso fratazado exterior medianeras</t>
  </si>
  <si>
    <t>ENLUCIDO A LA CAL</t>
  </si>
  <si>
    <t>Enlucido a la cal</t>
  </si>
  <si>
    <t>Carpeta de cemento alisado + imperm. en balcones y patios</t>
  </si>
  <si>
    <t>Gl</t>
  </si>
  <si>
    <t>PISO CERAMICO</t>
  </si>
  <si>
    <t>ZOC. CERAMICO</t>
  </si>
  <si>
    <t>Zócalos cerámicos</t>
  </si>
  <si>
    <t>Porcelanato</t>
  </si>
  <si>
    <t>Zócalos porcelanato</t>
  </si>
  <si>
    <t>AZOTEA/TERRAZAS</t>
  </si>
  <si>
    <t>Piso hormigón llaneado cochera</t>
  </si>
  <si>
    <t>Puerta de ingreso edificio A°I°</t>
  </si>
  <si>
    <t>Placard dormitorio 1,70 m</t>
  </si>
  <si>
    <t>Baranda metálica balcones</t>
  </si>
  <si>
    <t>Puertas de chapa palieres</t>
  </si>
  <si>
    <t>V1 - Paño fijo 1,80x2,20m</t>
  </si>
  <si>
    <t>C1 - Celosia 0,60 x 0,60m Sala de maquinas</t>
  </si>
  <si>
    <t>VM1 - Paño fijo 1,20 x 0,45m medianera</t>
  </si>
  <si>
    <t>PA3 - Puerta de aluminio ciega con vidrio 0,90x2,05m</t>
  </si>
  <si>
    <t>Baranda balcones aluminio y vidrio verde 4+4</t>
  </si>
  <si>
    <t>Losa sanitaria</t>
  </si>
  <si>
    <t>Pasquali</t>
  </si>
  <si>
    <t>Aguilar</t>
  </si>
  <si>
    <t>Barniz puertas placas y techo quincho</t>
  </si>
  <si>
    <t>SET</t>
  </si>
  <si>
    <t>ZOC. PVC</t>
  </si>
  <si>
    <t>Cafferata 500</t>
  </si>
  <si>
    <t>MAMP. LAD. CER. COMUN  30 CM DOBLE</t>
  </si>
  <si>
    <t>Perforacion pilotes</t>
  </si>
  <si>
    <t>Clavos</t>
  </si>
  <si>
    <t>Alambre</t>
  </si>
  <si>
    <t>Fenolicos</t>
  </si>
  <si>
    <t>Fenolicos film</t>
  </si>
  <si>
    <t>Vigas 3x6</t>
  </si>
  <si>
    <t>Tirante 3x3</t>
  </si>
  <si>
    <t>Caño pvc 30 cm</t>
  </si>
  <si>
    <t>Tabla 1x3</t>
  </si>
  <si>
    <t>Sup. Cubierta</t>
  </si>
  <si>
    <t>Excavacion cab y vf</t>
  </si>
  <si>
    <t>Zócalos PVC</t>
  </si>
  <si>
    <t>Puertas Ingreso con cerradura de seguridad y barral de a°i°</t>
  </si>
  <si>
    <t>Cerramiento balcones lavadero</t>
  </si>
  <si>
    <t>Cortina enrollar microperforada</t>
  </si>
  <si>
    <t>VLO- Vidriera local</t>
  </si>
  <si>
    <t>V2 - Puertas ventanas 1,50 x 2,05 m con cortina de enrrollar</t>
  </si>
  <si>
    <t>V3 - Paño fijo inferior y corrediza superior 1,50x2,05m</t>
  </si>
  <si>
    <t>Ascensor 12 paradas con puertas automáticas</t>
  </si>
  <si>
    <t>MAMP. LAD. CER. HUECO DM20</t>
  </si>
  <si>
    <t>Hormigon h-21</t>
  </si>
  <si>
    <t>Bomba</t>
  </si>
  <si>
    <t>Adic</t>
  </si>
  <si>
    <t>Exclusivo</t>
  </si>
  <si>
    <t>50% Sup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</si>
  <si>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</si>
  <si>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</si>
  <si>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</si>
  <si>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</si>
  <si>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</si>
  <si>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</si>
  <si>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</si>
  <si>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</si>
  <si>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</si>
  <si>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Azotea y sm</t>
  </si>
  <si>
    <t xml:space="preserve">Sup. a construir  </t>
  </si>
  <si>
    <t>Hormigon</t>
  </si>
  <si>
    <t>PLANTA 1° AL 10° PISO</t>
  </si>
  <si>
    <t>MONOAMBIENTE</t>
  </si>
  <si>
    <t>COCINA</t>
  </si>
  <si>
    <t>LAVADERO</t>
  </si>
  <si>
    <t>Cafferata 520</t>
  </si>
  <si>
    <t>Sup. a construir</t>
  </si>
  <si>
    <t>Costo por m2</t>
  </si>
  <si>
    <t>Exceptiva ($/m2)</t>
  </si>
  <si>
    <t>Terreno</t>
  </si>
  <si>
    <t>Total costo obra</t>
  </si>
  <si>
    <t>Valor de venta por m2:</t>
  </si>
  <si>
    <t>Unidades</t>
  </si>
  <si>
    <t>Precio venta</t>
  </si>
  <si>
    <t>Cochera</t>
  </si>
  <si>
    <t>Planta baja</t>
  </si>
  <si>
    <t>Total</t>
  </si>
  <si>
    <t>A 1 Dormitorio</t>
  </si>
  <si>
    <t>B Monoambiente</t>
  </si>
  <si>
    <t>D 1 Dormitorio</t>
  </si>
  <si>
    <t>Exclusiva</t>
  </si>
  <si>
    <t>Semicubierta</t>
  </si>
  <si>
    <t>C 1 Dormitorio</t>
  </si>
  <si>
    <t>Total por venta estimado</t>
  </si>
  <si>
    <t xml:space="preserve">  Total por venta   =</t>
  </si>
  <si>
    <t>Rendimiento esparado</t>
  </si>
  <si>
    <t>Costo total por m2 =</t>
  </si>
  <si>
    <t xml:space="preserve"> Total costo obra </t>
  </si>
  <si>
    <t>Valor de venta por m2 =</t>
  </si>
  <si>
    <t>Gastos y honorarios</t>
  </si>
  <si>
    <t>HONORARIOS ARQ</t>
  </si>
  <si>
    <t>HONORARIOS ING</t>
  </si>
  <si>
    <t>CERTIFICADO URBANISTICO</t>
  </si>
  <si>
    <t>CERTIFICADO CATASTRAL</t>
  </si>
  <si>
    <t>TASA DE REVISION DE PLANOS</t>
  </si>
  <si>
    <t>COPIA PLANO ANTERIOR</t>
  </si>
  <si>
    <t>NUMERACION OFICIAL</t>
  </si>
  <si>
    <t>FACTIBILIDAD EPE</t>
  </si>
  <si>
    <t>CONTRIBUCION APROV. ALTURA</t>
  </si>
  <si>
    <t>PERMISO</t>
  </si>
  <si>
    <t>APORTES COLEGI Y CAJA</t>
  </si>
  <si>
    <t>Imprevistos 10%</t>
  </si>
  <si>
    <t>Gastos</t>
  </si>
  <si>
    <t>Local PB</t>
  </si>
  <si>
    <t>Balcon</t>
  </si>
  <si>
    <t>1° al 3° Piso</t>
  </si>
  <si>
    <t>4° al 6° Piso</t>
  </si>
  <si>
    <t>7° al 9° Piso</t>
  </si>
  <si>
    <t>10° Piso</t>
  </si>
  <si>
    <t>C 1 Dormitorio c/t</t>
  </si>
  <si>
    <t>A 1 Dormitorio c/t</t>
  </si>
  <si>
    <t>Terreno + Honorarios + Aportes + Tasas</t>
  </si>
  <si>
    <t>Terreno (4 Dptos 1° piso Pellegrini)</t>
  </si>
  <si>
    <t>Honorarios + Aportes + Tasas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</si>
</sst>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\ &quot;°&quot;"/>
    <numFmt numFmtId="165" formatCode="0.00\ &quot;m2&quot;"/>
    <numFmt numFmtId="166" formatCode="0.00\ &quot;m3&quot;"/>
    <numFmt numFmtId="167" formatCode="0.00&quot; m3&quot;"/>
    <numFmt numFmtId="168" formatCode="0.00&quot; m2&quot;"/>
    <numFmt numFmtId="169" formatCode="0.00\ &quot;m&quot;"/>
    <numFmt numFmtId="170" formatCode="_ &quot;$&quot;\ * #,##0.00_ ;_ &quot;$&quot;\ * \-#,##0.00_ ;_ &quot;$&quot;\ * &quot;-&quot;??_ ;_ @_ "/>
    <numFmt numFmtId="171" formatCode="0.0"/>
    <numFmt numFmtId="172" formatCode="_ [$USD]\ * #,##0.00_ ;_ [$USD]\ * \-#,##0.00_ ;_ [$USD]\ * &quot;-&quot;??_ ;_ @_ "/>
    <numFmt numFmtId="173" formatCode="_-&quot;$&quot;\ * #,##0.00_-;\-&quot;$&quot;\ * #,##0.00_-;_-&quot;$&quot;\ * &quot;-&quot;??_-;_-@"/>
    <numFmt numFmtId="174" formatCode="_-[$USD]\ * #,##0.00_-;\-[$USD]\ * #,##0.00_-;_-[$USD]\ * &quot;-&quot;??_-;_-@"/>
    <numFmt numFmtId="175" formatCode="_ [$$-2C0A]\ * #,##0.00_ ;_ [$$-2C0A]\ * \-#,##0.00_ ;_ [$$-2C0A]\ * &quot;-&quot;??_ ;_ @_ "/>
    <numFmt numFmtId="176" formatCode="_-[$$-2C0A]\ * #,##0.00_-;\-[$$-2C0A]\ * #,##0.00_-;_-[$$-2C0A]\ * &quot;-&quot;??_-;_-@_-"/>
    <numFmt numFmtId="177" formatCode="_-[$USD]\ * #,##0.00_-;\-[$USD]\ * #,##0.00_-;_-[$USD]\ * &quot;-&quot;??_-;_-@_-"/>
  </numFmts>
  <fonts count="29" x14ac:knownFonts="1">
    <font>
      <sz val="10"/>
      <color rgb="FF000000"/>
      <name val="Arial"/>
    </font>
    <font>
      <b/>
      <sz val="14"/>
      <color theme="1"/>
      <name val="BankGothic Lt BT"/>
      <family val="2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B050"/>
      <name val="Arial"/>
      <family val="2"/>
    </font>
    <font>
      <sz val="9"/>
      <color rgb="FF00B050"/>
      <name val="Arial"/>
      <family val="2"/>
    </font>
    <font>
      <b/>
      <sz val="9"/>
      <color theme="4"/>
      <name val="Arial"/>
      <family val="2"/>
    </font>
    <font>
      <i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8D8D8"/>
      </patternFill>
    </fill>
  </fills>
  <borders count="4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208">
    <xf numFmtId="0" fontId="0" fillId="0" borderId="0" xfId="0" applyFont="1" applyAlignment="1"/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textRotation="90" shrinkToFit="1"/>
    </xf>
    <xf numFmtId="2" fontId="3" fillId="2" borderId="1" xfId="0" applyNumberFormat="1" applyFont="1" applyFill="1" applyBorder="1" applyAlignment="1">
      <alignment horizontal="center" textRotation="90"/>
    </xf>
    <xf numFmtId="2" fontId="3" fillId="2" borderId="1" xfId="0" applyNumberFormat="1" applyFont="1" applyFill="1" applyBorder="1" applyAlignment="1">
      <alignment horizontal="center" textRotation="90" shrinkToFit="1"/>
    </xf>
    <xf numFmtId="0" fontId="3" fillId="0" borderId="0" xfId="0" applyFont="1"/>
    <xf numFmtId="2" fontId="4" fillId="0" borderId="3" xfId="0" applyNumberFormat="1" applyFont="1" applyBorder="1"/>
    <xf numFmtId="2" fontId="4" fillId="0" borderId="4" xfId="0" applyNumberFormat="1" applyFont="1" applyBorder="1"/>
    <xf numFmtId="0" fontId="5" fillId="0" borderId="0" xfId="0" applyFont="1"/>
    <xf numFmtId="2" fontId="6" fillId="3" borderId="6" xfId="0" applyNumberFormat="1" applyFont="1" applyFill="1" applyBorder="1"/>
    <xf numFmtId="2" fontId="6" fillId="3" borderId="7" xfId="0" applyNumberFormat="1" applyFont="1" applyFill="1" applyBorder="1"/>
    <xf numFmtId="2" fontId="6" fillId="3" borderId="2" xfId="0" applyNumberFormat="1" applyFont="1" applyFill="1" applyBorder="1"/>
    <xf numFmtId="0" fontId="3" fillId="0" borderId="1" xfId="0" applyFont="1" applyBorder="1"/>
    <xf numFmtId="2" fontId="7" fillId="0" borderId="1" xfId="0" applyNumberFormat="1" applyFont="1" applyBorder="1"/>
    <xf numFmtId="2" fontId="3" fillId="0" borderId="5" xfId="0" applyNumberFormat="1" applyFont="1" applyBorder="1"/>
    <xf numFmtId="2" fontId="3" fillId="0" borderId="1" xfId="0" applyNumberFormat="1" applyFont="1" applyBorder="1"/>
    <xf numFmtId="2" fontId="8" fillId="0" borderId="3" xfId="0" applyNumberFormat="1" applyFont="1" applyBorder="1"/>
    <xf numFmtId="2" fontId="8" fillId="0" borderId="4" xfId="0" applyNumberFormat="1" applyFont="1" applyBorder="1"/>
    <xf numFmtId="2" fontId="8" fillId="0" borderId="5" xfId="0" applyNumberFormat="1" applyFont="1" applyBorder="1"/>
    <xf numFmtId="0" fontId="9" fillId="0" borderId="0" xfId="0" applyFont="1"/>
    <xf numFmtId="0" fontId="7" fillId="0" borderId="0" xfId="0" applyFont="1"/>
    <xf numFmtId="0" fontId="10" fillId="0" borderId="8" xfId="0" applyFont="1" applyBorder="1"/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/>
    </xf>
    <xf numFmtId="2" fontId="10" fillId="0" borderId="8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0" fontId="11" fillId="0" borderId="0" xfId="0" applyFont="1"/>
    <xf numFmtId="2" fontId="10" fillId="0" borderId="0" xfId="0" applyNumberFormat="1" applyFont="1"/>
    <xf numFmtId="167" fontId="11" fillId="0" borderId="0" xfId="0" applyNumberFormat="1" applyFont="1" applyAlignment="1">
      <alignment horizontal="left"/>
    </xf>
    <xf numFmtId="0" fontId="10" fillId="0" borderId="0" xfId="0" applyFont="1"/>
    <xf numFmtId="165" fontId="11" fillId="0" borderId="0" xfId="0" applyNumberFormat="1" applyFont="1" applyAlignment="1">
      <alignment horizontal="center"/>
    </xf>
    <xf numFmtId="167" fontId="10" fillId="0" borderId="0" xfId="0" applyNumberFormat="1" applyFont="1"/>
    <xf numFmtId="0" fontId="15" fillId="0" borderId="0" xfId="0" applyFont="1"/>
    <xf numFmtId="0" fontId="11" fillId="0" borderId="15" xfId="0" applyFont="1" applyBorder="1" applyAlignment="1">
      <alignment horizontal="left"/>
    </xf>
    <xf numFmtId="168" fontId="10" fillId="0" borderId="16" xfId="0" applyNumberFormat="1" applyFont="1" applyBorder="1"/>
    <xf numFmtId="168" fontId="10" fillId="0" borderId="17" xfId="0" applyNumberFormat="1" applyFont="1" applyBorder="1"/>
    <xf numFmtId="168" fontId="10" fillId="0" borderId="18" xfId="0" applyNumberFormat="1" applyFont="1" applyBorder="1"/>
    <xf numFmtId="168" fontId="10" fillId="0" borderId="19" xfId="0" applyNumberFormat="1" applyFont="1" applyBorder="1"/>
    <xf numFmtId="168" fontId="10" fillId="0" borderId="20" xfId="0" applyNumberFormat="1" applyFont="1" applyBorder="1"/>
    <xf numFmtId="164" fontId="11" fillId="0" borderId="21" xfId="0" applyNumberFormat="1" applyFont="1" applyBorder="1" applyAlignment="1">
      <alignment horizontal="left"/>
    </xf>
    <xf numFmtId="168" fontId="10" fillId="0" borderId="1" xfId="0" applyNumberFormat="1" applyFont="1" applyBorder="1"/>
    <xf numFmtId="168" fontId="10" fillId="0" borderId="3" xfId="0" applyNumberFormat="1" applyFont="1" applyBorder="1"/>
    <xf numFmtId="164" fontId="11" fillId="0" borderId="15" xfId="0" applyNumberFormat="1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168" fontId="10" fillId="0" borderId="23" xfId="0" applyNumberFormat="1" applyFont="1" applyBorder="1"/>
    <xf numFmtId="168" fontId="10" fillId="0" borderId="24" xfId="0" applyNumberFormat="1" applyFont="1" applyBorder="1"/>
    <xf numFmtId="168" fontId="10" fillId="0" borderId="25" xfId="0" applyNumberFormat="1" applyFont="1" applyBorder="1"/>
    <xf numFmtId="0" fontId="12" fillId="0" borderId="26" xfId="0" applyFont="1" applyBorder="1"/>
    <xf numFmtId="168" fontId="12" fillId="0" borderId="27" xfId="0" applyNumberFormat="1" applyFont="1" applyBorder="1"/>
    <xf numFmtId="168" fontId="12" fillId="0" borderId="28" xfId="0" applyNumberFormat="1" applyFont="1" applyBorder="1"/>
    <xf numFmtId="168" fontId="12" fillId="0" borderId="29" xfId="0" applyNumberFormat="1" applyFont="1" applyBorder="1"/>
    <xf numFmtId="168" fontId="12" fillId="0" borderId="30" xfId="0" applyNumberFormat="1" applyFont="1" applyBorder="1"/>
    <xf numFmtId="168" fontId="11" fillId="0" borderId="0" xfId="0" applyNumberFormat="1" applyFont="1"/>
    <xf numFmtId="168" fontId="10" fillId="0" borderId="0" xfId="0" applyNumberFormat="1" applyFont="1"/>
    <xf numFmtId="170" fontId="10" fillId="0" borderId="0" xfId="0" applyNumberFormat="1" applyFont="1"/>
    <xf numFmtId="170" fontId="10" fillId="0" borderId="31" xfId="0" applyNumberFormat="1" applyFont="1" applyBorder="1"/>
    <xf numFmtId="0" fontId="10" fillId="0" borderId="0" xfId="0" applyFont="1" applyAlignment="1">
      <alignment horizontal="left"/>
    </xf>
    <xf numFmtId="10" fontId="10" fillId="0" borderId="0" xfId="0" applyNumberFormat="1" applyFont="1"/>
    <xf numFmtId="2" fontId="11" fillId="0" borderId="0" xfId="0" applyNumberFormat="1" applyFont="1" applyAlignment="1">
      <alignment horizontal="center" vertical="center" wrapText="1"/>
    </xf>
    <xf numFmtId="13" fontId="10" fillId="0" borderId="0" xfId="0" applyNumberFormat="1" applyFont="1"/>
    <xf numFmtId="0" fontId="0" fillId="0" borderId="0" xfId="0" applyFont="1" applyAlignment="1"/>
    <xf numFmtId="44" fontId="10" fillId="0" borderId="0" xfId="1" applyFont="1"/>
    <xf numFmtId="44" fontId="0" fillId="0" borderId="0" xfId="1" applyFont="1" applyAlignment="1"/>
    <xf numFmtId="0" fontId="21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3" fillId="0" borderId="6" xfId="0" applyFont="1" applyBorder="1"/>
    <xf numFmtId="2" fontId="7" fillId="0" borderId="7" xfId="0" applyNumberFormat="1" applyFont="1" applyBorder="1"/>
    <xf numFmtId="0" fontId="0" fillId="0" borderId="0" xfId="0" applyFont="1" applyAlignment="1"/>
    <xf numFmtId="0" fontId="0" fillId="0" borderId="0" xfId="0" applyFont="1" applyAlignment="1"/>
    <xf numFmtId="166" fontId="13" fillId="0" borderId="8" xfId="0" applyNumberFormat="1" applyFont="1" applyBorder="1" applyAlignment="1">
      <alignment horizontal="center"/>
    </xf>
    <xf numFmtId="168" fontId="10" fillId="0" borderId="6" xfId="0" applyNumberFormat="1" applyFont="1" applyBorder="1"/>
    <xf numFmtId="2" fontId="22" fillId="2" borderId="1" xfId="0" applyNumberFormat="1" applyFont="1" applyFill="1" applyBorder="1" applyAlignment="1">
      <alignment horizontal="center" textRotation="90"/>
    </xf>
    <xf numFmtId="43" fontId="10" fillId="0" borderId="0" xfId="2" applyFont="1"/>
    <xf numFmtId="43" fontId="0" fillId="0" borderId="0" xfId="2" applyFont="1" applyAlignment="1"/>
    <xf numFmtId="0" fontId="22" fillId="0" borderId="1" xfId="0" applyFont="1" applyBorder="1"/>
    <xf numFmtId="43" fontId="10" fillId="0" borderId="0" xfId="2" applyFont="1" applyAlignment="1">
      <alignment horizontal="center"/>
    </xf>
    <xf numFmtId="43" fontId="10" fillId="0" borderId="0" xfId="2" applyFont="1" applyBorder="1"/>
    <xf numFmtId="164" fontId="10" fillId="0" borderId="0" xfId="0" applyNumberFormat="1" applyFont="1"/>
    <xf numFmtId="164" fontId="21" fillId="0" borderId="0" xfId="0" applyNumberFormat="1" applyFont="1"/>
    <xf numFmtId="171" fontId="10" fillId="0" borderId="0" xfId="0" applyNumberFormat="1" applyFont="1"/>
    <xf numFmtId="44" fontId="10" fillId="0" borderId="32" xfId="1" applyFont="1" applyBorder="1"/>
    <xf numFmtId="0" fontId="0" fillId="0" borderId="0" xfId="0" applyFont="1" applyAlignment="1"/>
    <xf numFmtId="2" fontId="0" fillId="0" borderId="0" xfId="0" applyNumberFormat="1" applyFont="1" applyAlignment="1"/>
    <xf numFmtId="44" fontId="10" fillId="0" borderId="0" xfId="0" applyNumberFormat="1" applyFont="1"/>
    <xf numFmtId="0" fontId="20" fillId="0" borderId="0" xfId="0" applyFont="1" applyAlignment="1"/>
    <xf numFmtId="165" fontId="0" fillId="0" borderId="0" xfId="0" applyNumberFormat="1" applyFont="1" applyAlignment="1"/>
    <xf numFmtId="0" fontId="0" fillId="0" borderId="0" xfId="0" applyFont="1" applyAlignment="1"/>
    <xf numFmtId="2" fontId="2" fillId="0" borderId="6" xfId="0" applyNumberFormat="1" applyFont="1" applyBorder="1" applyAlignment="1">
      <alignment horizontal="center" vertical="center" textRotation="90" shrinkToFit="1"/>
    </xf>
    <xf numFmtId="2" fontId="4" fillId="0" borderId="7" xfId="0" applyNumberFormat="1" applyFont="1" applyBorder="1"/>
    <xf numFmtId="2" fontId="7" fillId="0" borderId="6" xfId="0" applyNumberFormat="1" applyFont="1" applyBorder="1"/>
    <xf numFmtId="2" fontId="8" fillId="0" borderId="7" xfId="0" applyNumberFormat="1" applyFont="1" applyBorder="1"/>
    <xf numFmtId="2" fontId="4" fillId="0" borderId="1" xfId="0" applyNumberFormat="1" applyFont="1" applyBorder="1"/>
    <xf numFmtId="2" fontId="6" fillId="3" borderId="1" xfId="0" applyNumberFormat="1" applyFont="1" applyFill="1" applyBorder="1"/>
    <xf numFmtId="2" fontId="8" fillId="0" borderId="1" xfId="0" applyNumberFormat="1" applyFont="1" applyBorder="1"/>
    <xf numFmtId="0" fontId="0" fillId="0" borderId="0" xfId="0"/>
    <xf numFmtId="43" fontId="0" fillId="0" borderId="0" xfId="2" applyFont="1"/>
    <xf numFmtId="0" fontId="23" fillId="0" borderId="32" xfId="0" applyFont="1" applyBorder="1" applyAlignment="1">
      <alignment horizontal="center"/>
    </xf>
    <xf numFmtId="0" fontId="0" fillId="0" borderId="33" xfId="0" applyBorder="1"/>
    <xf numFmtId="2" fontId="0" fillId="0" borderId="0" xfId="0" applyNumberFormat="1"/>
    <xf numFmtId="0" fontId="23" fillId="0" borderId="34" xfId="0" applyFont="1" applyBorder="1" applyAlignment="1">
      <alignment horizontal="center"/>
    </xf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166" fontId="24" fillId="0" borderId="36" xfId="0" applyNumberFormat="1" applyFont="1" applyBorder="1"/>
    <xf numFmtId="44" fontId="0" fillId="0" borderId="0" xfId="1" applyNumberFormat="1" applyFont="1"/>
    <xf numFmtId="2" fontId="0" fillId="0" borderId="32" xfId="0" applyNumberFormat="1" applyBorder="1"/>
    <xf numFmtId="0" fontId="23" fillId="0" borderId="33" xfId="0" applyFont="1" applyBorder="1" applyAlignment="1">
      <alignment horizontal="center"/>
    </xf>
    <xf numFmtId="165" fontId="24" fillId="0" borderId="0" xfId="0" applyNumberFormat="1" applyFont="1"/>
    <xf numFmtId="0" fontId="0" fillId="0" borderId="34" xfId="0" applyBorder="1"/>
    <xf numFmtId="169" fontId="24" fillId="0" borderId="0" xfId="0" applyNumberFormat="1" applyFont="1"/>
    <xf numFmtId="166" fontId="24" fillId="0" borderId="0" xfId="0" applyNumberFormat="1" applyFont="1"/>
    <xf numFmtId="44" fontId="0" fillId="0" borderId="0" xfId="1" applyFont="1"/>
    <xf numFmtId="44" fontId="10" fillId="0" borderId="0" xfId="1" applyNumberFormat="1" applyFont="1" applyAlignment="1"/>
    <xf numFmtId="44" fontId="10" fillId="0" borderId="32" xfId="1" applyNumberFormat="1" applyFont="1" applyBorder="1" applyAlignment="1"/>
    <xf numFmtId="44" fontId="10" fillId="0" borderId="0" xfId="1" applyNumberFormat="1" applyFont="1"/>
    <xf numFmtId="44" fontId="0" fillId="0" borderId="0" xfId="0" applyNumberFormat="1"/>
    <xf numFmtId="1" fontId="10" fillId="0" borderId="0" xfId="0" applyNumberFormat="1" applyFont="1"/>
    <xf numFmtId="2" fontId="11" fillId="0" borderId="39" xfId="0" applyNumberFormat="1" applyFont="1" applyBorder="1" applyAlignment="1">
      <alignment horizontal="center" vertical="center"/>
    </xf>
    <xf numFmtId="2" fontId="11" fillId="0" borderId="39" xfId="0" applyNumberFormat="1" applyFont="1" applyBorder="1" applyAlignment="1">
      <alignment horizontal="center" vertical="center" wrapText="1"/>
    </xf>
    <xf numFmtId="171" fontId="17" fillId="0" borderId="39" xfId="0" applyNumberFormat="1" applyFont="1" applyBorder="1" applyAlignment="1">
      <alignment horizontal="left"/>
    </xf>
    <xf numFmtId="2" fontId="10" fillId="0" borderId="39" xfId="0" applyNumberFormat="1" applyFont="1" applyBorder="1" applyAlignment="1">
      <alignment horizontal="center"/>
    </xf>
    <xf numFmtId="2" fontId="10" fillId="0" borderId="39" xfId="0" applyNumberFormat="1" applyFont="1" applyBorder="1"/>
    <xf numFmtId="2" fontId="10" fillId="0" borderId="39" xfId="0" applyNumberFormat="1" applyFont="1" applyFill="1" applyBorder="1"/>
    <xf numFmtId="2" fontId="21" fillId="0" borderId="39" xfId="0" applyNumberFormat="1" applyFont="1" applyBorder="1"/>
    <xf numFmtId="171" fontId="18" fillId="0" borderId="39" xfId="0" applyNumberFormat="1" applyFont="1" applyBorder="1" applyAlignment="1">
      <alignment horizontal="left"/>
    </xf>
    <xf numFmtId="2" fontId="21" fillId="0" borderId="39" xfId="0" applyNumberFormat="1" applyFont="1" applyBorder="1" applyAlignment="1">
      <alignment horizontal="center"/>
    </xf>
    <xf numFmtId="43" fontId="0" fillId="0" borderId="0" xfId="0" applyNumberFormat="1"/>
    <xf numFmtId="2" fontId="19" fillId="0" borderId="8" xfId="0" applyNumberFormat="1" applyFont="1" applyBorder="1"/>
    <xf numFmtId="2" fontId="25" fillId="0" borderId="8" xfId="0" applyNumberFormat="1" applyFont="1" applyBorder="1" applyAlignment="1">
      <alignment horizontal="center"/>
    </xf>
    <xf numFmtId="165" fontId="19" fillId="0" borderId="8" xfId="0" applyNumberFormat="1" applyFont="1" applyBorder="1" applyAlignment="1">
      <alignment horizontal="center"/>
    </xf>
    <xf numFmtId="49" fontId="19" fillId="0" borderId="8" xfId="0" applyNumberFormat="1" applyFont="1" applyBorder="1"/>
    <xf numFmtId="0" fontId="19" fillId="0" borderId="0" xfId="0" applyFont="1"/>
    <xf numFmtId="2" fontId="19" fillId="0" borderId="0" xfId="0" applyNumberFormat="1" applyFont="1" applyAlignment="1">
      <alignment horizontal="right" vertical="center"/>
    </xf>
    <xf numFmtId="165" fontId="25" fillId="0" borderId="8" xfId="0" applyNumberFormat="1" applyFont="1" applyBorder="1" applyAlignment="1">
      <alignment horizontal="center"/>
    </xf>
    <xf numFmtId="165" fontId="20" fillId="0" borderId="0" xfId="0" applyNumberFormat="1" applyFont="1" applyAlignment="1"/>
    <xf numFmtId="0" fontId="19" fillId="0" borderId="0" xfId="0" applyFont="1" applyAlignment="1"/>
    <xf numFmtId="2" fontId="25" fillId="0" borderId="0" xfId="0" applyNumberFormat="1" applyFont="1"/>
    <xf numFmtId="2" fontId="26" fillId="0" borderId="0" xfId="0" applyNumberFormat="1" applyFont="1"/>
    <xf numFmtId="0" fontId="19" fillId="0" borderId="0" xfId="0" applyFont="1" applyAlignment="1">
      <alignment horizontal="right"/>
    </xf>
    <xf numFmtId="2" fontId="27" fillId="0" borderId="0" xfId="0" applyNumberFormat="1" applyFont="1"/>
    <xf numFmtId="2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/>
    </xf>
    <xf numFmtId="165" fontId="19" fillId="0" borderId="0" xfId="0" applyNumberFormat="1" applyFont="1"/>
    <xf numFmtId="172" fontId="19" fillId="0" borderId="0" xfId="0" applyNumberFormat="1" applyFont="1"/>
    <xf numFmtId="44" fontId="19" fillId="0" borderId="0" xfId="1" applyFont="1" applyAlignment="1"/>
    <xf numFmtId="173" fontId="19" fillId="0" borderId="0" xfId="0" applyNumberFormat="1" applyFont="1"/>
    <xf numFmtId="174" fontId="19" fillId="0" borderId="0" xfId="0" applyNumberFormat="1" applyFont="1"/>
    <xf numFmtId="172" fontId="19" fillId="0" borderId="31" xfId="0" applyNumberFormat="1" applyFont="1" applyBorder="1"/>
    <xf numFmtId="172" fontId="25" fillId="0" borderId="0" xfId="0" applyNumberFormat="1" applyFont="1"/>
    <xf numFmtId="2" fontId="19" fillId="0" borderId="40" xfId="0" applyNumberFormat="1" applyFont="1" applyBorder="1"/>
    <xf numFmtId="0" fontId="19" fillId="0" borderId="41" xfId="0" applyFont="1" applyBorder="1"/>
    <xf numFmtId="172" fontId="19" fillId="0" borderId="42" xfId="0" applyNumberFormat="1" applyFont="1" applyBorder="1"/>
    <xf numFmtId="2" fontId="19" fillId="0" borderId="0" xfId="0" applyNumberFormat="1" applyFont="1" applyAlignment="1">
      <alignment horizontal="center"/>
    </xf>
    <xf numFmtId="175" fontId="19" fillId="0" borderId="0" xfId="0" applyNumberFormat="1" applyFont="1" applyAlignment="1">
      <alignment horizontal="center"/>
    </xf>
    <xf numFmtId="165" fontId="19" fillId="0" borderId="43" xfId="0" applyNumberFormat="1" applyFont="1" applyBorder="1"/>
    <xf numFmtId="165" fontId="19" fillId="0" borderId="0" xfId="0" applyNumberFormat="1" applyFont="1" applyAlignment="1">
      <alignment horizontal="center"/>
    </xf>
    <xf numFmtId="2" fontId="19" fillId="0" borderId="44" xfId="0" applyNumberFormat="1" applyFont="1" applyBorder="1" applyAlignment="1">
      <alignment horizontal="center"/>
    </xf>
    <xf numFmtId="172" fontId="19" fillId="0" borderId="44" xfId="0" applyNumberFormat="1" applyFont="1" applyBorder="1"/>
    <xf numFmtId="2" fontId="19" fillId="0" borderId="44" xfId="0" applyNumberFormat="1" applyFont="1" applyBorder="1"/>
    <xf numFmtId="165" fontId="19" fillId="0" borderId="9" xfId="0" applyNumberFormat="1" applyFont="1" applyBorder="1"/>
    <xf numFmtId="165" fontId="19" fillId="0" borderId="44" xfId="0" applyNumberFormat="1" applyFont="1" applyBorder="1" applyAlignment="1">
      <alignment horizontal="center"/>
    </xf>
    <xf numFmtId="2" fontId="19" fillId="0" borderId="31" xfId="0" applyNumberFormat="1" applyFont="1" applyBorder="1" applyAlignment="1">
      <alignment horizontal="center"/>
    </xf>
    <xf numFmtId="2" fontId="19" fillId="0" borderId="31" xfId="0" applyNumberFormat="1" applyFont="1" applyBorder="1"/>
    <xf numFmtId="165" fontId="19" fillId="0" borderId="12" xfId="0" applyNumberFormat="1" applyFont="1" applyBorder="1"/>
    <xf numFmtId="165" fontId="19" fillId="0" borderId="31" xfId="0" applyNumberFormat="1" applyFont="1" applyBorder="1" applyAlignment="1">
      <alignment horizontal="center"/>
    </xf>
    <xf numFmtId="165" fontId="19" fillId="0" borderId="32" xfId="0" applyNumberFormat="1" applyFont="1" applyBorder="1" applyAlignment="1">
      <alignment horizontal="center"/>
    </xf>
    <xf numFmtId="165" fontId="19" fillId="0" borderId="0" xfId="0" applyNumberFormat="1" applyFont="1" applyBorder="1" applyAlignment="1">
      <alignment horizontal="center"/>
    </xf>
    <xf numFmtId="2" fontId="19" fillId="0" borderId="0" xfId="0" applyNumberFormat="1" applyFont="1" applyBorder="1" applyAlignment="1">
      <alignment horizontal="center"/>
    </xf>
    <xf numFmtId="172" fontId="19" fillId="0" borderId="32" xfId="0" applyNumberFormat="1" applyFont="1" applyBorder="1"/>
    <xf numFmtId="165" fontId="25" fillId="0" borderId="0" xfId="0" applyNumberFormat="1" applyFont="1" applyAlignment="1">
      <alignment horizontal="center"/>
    </xf>
    <xf numFmtId="10" fontId="12" fillId="0" borderId="45" xfId="0" applyNumberFormat="1" applyFont="1" applyBorder="1"/>
    <xf numFmtId="2" fontId="19" fillId="0" borderId="0" xfId="0" applyNumberFormat="1" applyFont="1" applyAlignment="1">
      <alignment vertical="center"/>
    </xf>
    <xf numFmtId="174" fontId="19" fillId="0" borderId="0" xfId="0" applyNumberFormat="1" applyFont="1" applyAlignment="1">
      <alignment vertical="center"/>
    </xf>
    <xf numFmtId="165" fontId="19" fillId="0" borderId="0" xfId="0" applyNumberFormat="1" applyFont="1" applyAlignment="1">
      <alignment vertical="center"/>
    </xf>
    <xf numFmtId="2" fontId="25" fillId="0" borderId="0" xfId="0" applyNumberFormat="1" applyFont="1" applyAlignment="1"/>
    <xf numFmtId="0" fontId="19" fillId="0" borderId="0" xfId="0" applyFont="1" applyAlignment="1">
      <alignment vertical="center"/>
    </xf>
    <xf numFmtId="176" fontId="0" fillId="0" borderId="0" xfId="0" applyNumberFormat="1"/>
    <xf numFmtId="176" fontId="0" fillId="0" borderId="32" xfId="0" applyNumberFormat="1" applyBorder="1"/>
    <xf numFmtId="176" fontId="0" fillId="4" borderId="0" xfId="0" applyNumberFormat="1" applyFill="1"/>
    <xf numFmtId="0" fontId="0" fillId="0" borderId="0" xfId="0" applyFont="1"/>
    <xf numFmtId="44" fontId="19" fillId="0" borderId="0" xfId="1" applyFont="1"/>
    <xf numFmtId="0" fontId="19" fillId="0" borderId="0" xfId="0" applyFont="1" applyBorder="1"/>
    <xf numFmtId="0" fontId="19" fillId="0" borderId="0" xfId="0" applyFont="1" applyBorder="1" applyAlignment="1">
      <alignment horizontal="center"/>
    </xf>
    <xf numFmtId="0" fontId="19" fillId="0" borderId="0" xfId="0" applyFont="1" applyBorder="1" applyAlignment="1"/>
    <xf numFmtId="43" fontId="19" fillId="0" borderId="0" xfId="2" applyFont="1"/>
    <xf numFmtId="177" fontId="19" fillId="0" borderId="0" xfId="0" applyNumberFormat="1" applyFont="1"/>
    <xf numFmtId="177" fontId="19" fillId="0" borderId="0" xfId="0" applyNumberFormat="1" applyFont="1" applyAlignment="1"/>
    <xf numFmtId="0" fontId="14" fillId="0" borderId="9" xfId="0" applyFont="1" applyBorder="1" applyAlignment="1">
      <alignment horizontal="center" vertical="center" wrapText="1"/>
    </xf>
    <xf numFmtId="0" fontId="16" fillId="0" borderId="12" xfId="0" applyFont="1" applyBorder="1"/>
    <xf numFmtId="0" fontId="14" fillId="0" borderId="10" xfId="0" applyFont="1" applyBorder="1" applyAlignment="1">
      <alignment horizontal="center" vertical="center" wrapText="1"/>
    </xf>
    <xf numFmtId="0" fontId="16" fillId="0" borderId="13" xfId="0" applyFont="1" applyBorder="1"/>
    <xf numFmtId="0" fontId="14" fillId="0" borderId="9" xfId="0" applyFont="1" applyBorder="1" applyAlignment="1">
      <alignment horizontal="center" vertical="top" wrapText="1"/>
    </xf>
    <xf numFmtId="0" fontId="16" fillId="0" borderId="11" xfId="0" applyFont="1" applyBorder="1"/>
    <xf numFmtId="0" fontId="16" fillId="0" borderId="14" xfId="0" applyFont="1" applyBorder="1"/>
    <xf numFmtId="2" fontId="24" fillId="0" borderId="35" xfId="0" applyNumberFormat="1" applyFont="1" applyBorder="1" applyAlignment="1">
      <alignment horizontal="center"/>
    </xf>
    <xf numFmtId="2" fontId="4" fillId="6" borderId="1" xfId="0" applyNumberFormat="1" applyFont="1" applyFill="1" applyBorder="1"/>
    <xf numFmtId="2" fontId="6" fillId="7" borderId="2" xfId="0" applyNumberFormat="1" applyFont="1" applyFill="1" applyBorder="1"/>
    <xf numFmtId="2" fontId="3" fillId="6" borderId="1" xfId="0" applyNumberFormat="1" applyFont="1" applyFill="1" applyBorder="1"/>
    <xf numFmtId="2" fontId="6" fillId="7" borderId="1" xfId="0" applyNumberFormat="1" applyFont="1" applyFill="1" applyBorder="1"/>
    <xf numFmtId="2" fontId="8" fillId="6" borderId="5" xfId="0" applyNumberFormat="1" applyFont="1" applyFill="1" applyBorder="1"/>
    <xf numFmtId="2" fontId="8" fillId="6" borderId="1" xfId="0" applyNumberFormat="1" applyFont="1" applyFill="1" applyBorder="1"/>
    <xf numFmtId="2" fontId="3" fillId="6" borderId="5" xfId="0" applyNumberFormat="1" applyFont="1" applyFill="1" applyBorder="1"/>
    <xf numFmtId="10" fontId="3" fillId="5" borderId="1" xfId="3" applyNumberFormat="1" applyFont="1" applyFill="1" applyBorder="1" applyAlignment="1">
      <alignment horizontal="center"/>
    </xf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28" Type="http://schemas.openxmlformats.org/officeDocument/2006/relationships/calcChain" Target="calcChain.xml"/><Relationship Id="rId4" Type="http://schemas.openxmlformats.org/officeDocument/2006/relationships/worksheet" Target="worksheets/sheet4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5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D5" sqref="AD5"/>
    </sheetView>
  </sheetViews>
  <sheetFormatPr baseColWidth="10" defaultColWidth="14.42578125" defaultRowHeight="15" customHeight="1" x14ac:dyDescent="0.2"/>
  <cols>
    <col min="1" max="1" width="18.85546875" customWidth="1"/>
    <col min="2" max="3" width="6" customWidth="1"/>
    <col min="4" max="4" width="5" customWidth="1"/>
    <col min="5" max="7" width="7" customWidth="1"/>
    <col min="8" max="9" width="7.42578125" customWidth="1"/>
    <col min="10" max="10" width="7.42578125" style="90" customWidth="1"/>
    <col min="11" max="11" width="6.42578125" bestFit="1" customWidth="1"/>
    <col min="12" max="13" width="7.42578125" customWidth="1"/>
    <col min="14" max="14" width="7.42578125" style="72" customWidth="1"/>
    <col min="15" max="16" width="7.42578125" customWidth="1"/>
    <col min="17" max="18" width="7.42578125" bestFit="1" customWidth="1"/>
    <col min="19" max="19" width="6.42578125" customWidth="1"/>
    <col min="20" max="20" width="7.42578125" bestFit="1" customWidth="1"/>
    <col min="21" max="22" width="7.42578125" customWidth="1"/>
    <col min="23" max="23" width="7.42578125" style="67" customWidth="1"/>
    <col min="24" max="25" width="7.42578125" style="72" customWidth="1"/>
    <col min="26" max="27" width="7.42578125" customWidth="1"/>
    <col min="28" max="28" width="6.42578125" bestFit="1" customWidth="1"/>
    <col min="29" max="29" width="6" customWidth="1"/>
    <col min="30" max="30" width="10.7109375" customWidth="1"/>
  </cols>
  <sheetData>
    <row r="1" spans="1:30" ht="130.5" customHeight="1" x14ac:dyDescent="0.2">
      <c r="A1" s="1" t="s">
        <v>208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91" t="s">
        <v>5</v>
      </c>
      <c r="H1" s="3" t="s">
        <v>6</v>
      </c>
      <c r="I1" s="3" t="s">
        <v>7</v>
      </c>
      <c r="J1" s="207">
        <f>J2/I2</f>
        <v>0.17194849612292357</v>
      </c>
      <c r="K1" s="3" t="s">
        <v>8</v>
      </c>
      <c r="L1" s="3" t="s">
        <v>9</v>
      </c>
      <c r="M1" s="3" t="s">
        <v>10</v>
      </c>
      <c r="N1" s="75" t="s">
        <v>182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207</v>
      </c>
      <c r="X1" s="75" t="s">
        <v>186</v>
      </c>
      <c r="Y1" s="75" t="s">
        <v>187</v>
      </c>
      <c r="Z1" s="3" t="s">
        <v>19</v>
      </c>
      <c r="AA1" s="3" t="s">
        <v>20</v>
      </c>
      <c r="AB1" s="4" t="s">
        <v>21</v>
      </c>
      <c r="AC1" s="4" t="s">
        <v>22</v>
      </c>
      <c r="AD1" s="5"/>
    </row>
    <row r="2" spans="1:30" ht="12" customHeight="1" x14ac:dyDescent="0.2">
      <c r="A2" s="6" t="s">
        <v>23</v>
      </c>
      <c r="B2" s="7"/>
      <c r="C2" s="7"/>
      <c r="D2" s="7"/>
      <c r="E2" s="7"/>
      <c r="F2" s="7"/>
      <c r="G2" s="92"/>
      <c r="H2" s="95">
        <f>H3+H10+H31</f>
        <v>1624.0419999999999</v>
      </c>
      <c r="I2" s="95">
        <f t="shared" ref="I2:AC2" si="0">I3+I10+I31</f>
        <v>238.00150000000002</v>
      </c>
      <c r="J2" s="200">
        <f t="shared" si="0"/>
        <v>40.923999999999999</v>
      </c>
      <c r="K2" s="95">
        <f t="shared" si="0"/>
        <v>12.975000000000001</v>
      </c>
      <c r="L2" s="95">
        <f t="shared" si="0"/>
        <v>150.416</v>
      </c>
      <c r="M2" s="95">
        <f t="shared" si="0"/>
        <v>225.0265</v>
      </c>
      <c r="N2" s="95">
        <f t="shared" si="0"/>
        <v>516.4</v>
      </c>
      <c r="O2" s="95">
        <f t="shared" si="0"/>
        <v>791.38200000000006</v>
      </c>
      <c r="P2" s="95">
        <f t="shared" si="0"/>
        <v>296.18000000000006</v>
      </c>
      <c r="Q2" s="95">
        <f t="shared" si="0"/>
        <v>191.02800000000002</v>
      </c>
      <c r="R2" s="95">
        <f t="shared" si="0"/>
        <v>257.09010000000001</v>
      </c>
      <c r="S2" s="95">
        <f t="shared" si="0"/>
        <v>176</v>
      </c>
      <c r="T2" s="95">
        <f t="shared" si="0"/>
        <v>72.3</v>
      </c>
      <c r="U2" s="95">
        <f t="shared" si="0"/>
        <v>196.1225</v>
      </c>
      <c r="V2" s="95">
        <f t="shared" si="0"/>
        <v>150.4</v>
      </c>
      <c r="W2" s="95">
        <f t="shared" si="0"/>
        <v>106.26</v>
      </c>
      <c r="X2" s="95">
        <f t="shared" si="0"/>
        <v>33.879000000000005</v>
      </c>
      <c r="Y2" s="95">
        <f t="shared" si="0"/>
        <v>49.94</v>
      </c>
      <c r="Z2" s="95">
        <f t="shared" si="0"/>
        <v>1307.7820000000002</v>
      </c>
      <c r="AA2" s="95">
        <f t="shared" si="0"/>
        <v>448.11810000000003</v>
      </c>
      <c r="AB2" s="95">
        <f t="shared" si="0"/>
        <v>6.9</v>
      </c>
      <c r="AC2" s="95">
        <f t="shared" si="0"/>
        <v>1.3499999999999999</v>
      </c>
      <c r="AD2" s="8"/>
    </row>
    <row r="3" spans="1:30" ht="12" customHeight="1" x14ac:dyDescent="0.2">
      <c r="A3" s="9" t="s">
        <v>24</v>
      </c>
      <c r="B3" s="10"/>
      <c r="C3" s="10"/>
      <c r="D3" s="10"/>
      <c r="E3" s="10"/>
      <c r="F3" s="10"/>
      <c r="G3" s="10"/>
      <c r="H3" s="96">
        <f t="shared" ref="H3:AC3" si="1">SUM(H4:H8)</f>
        <v>449.44</v>
      </c>
      <c r="I3" s="11">
        <f t="shared" si="1"/>
        <v>40.923999999999999</v>
      </c>
      <c r="J3" s="201">
        <f t="shared" ref="J3" si="2">SUM(J4:J8)</f>
        <v>40.923999999999999</v>
      </c>
      <c r="K3" s="11">
        <f t="shared" si="1"/>
        <v>0</v>
      </c>
      <c r="L3" s="11">
        <f t="shared" si="1"/>
        <v>0</v>
      </c>
      <c r="M3" s="11">
        <f t="shared" si="1"/>
        <v>40.923999999999999</v>
      </c>
      <c r="N3" s="11">
        <f t="shared" si="1"/>
        <v>42.879999999999995</v>
      </c>
      <c r="O3" s="11">
        <f t="shared" si="1"/>
        <v>146.08000000000001</v>
      </c>
      <c r="P3" s="11">
        <f t="shared" si="1"/>
        <v>36.520000000000003</v>
      </c>
      <c r="Q3" s="11">
        <f t="shared" si="1"/>
        <v>7.08</v>
      </c>
      <c r="R3" s="11">
        <f t="shared" si="1"/>
        <v>123.5196</v>
      </c>
      <c r="S3" s="11">
        <f t="shared" si="1"/>
        <v>7</v>
      </c>
      <c r="T3" s="11">
        <f t="shared" si="1"/>
        <v>0</v>
      </c>
      <c r="U3" s="11">
        <f t="shared" si="1"/>
        <v>20.02</v>
      </c>
      <c r="V3" s="11">
        <f t="shared" si="1"/>
        <v>20.6</v>
      </c>
      <c r="W3" s="11">
        <f t="shared" si="1"/>
        <v>0</v>
      </c>
      <c r="X3" s="11">
        <f t="shared" si="1"/>
        <v>20.904000000000003</v>
      </c>
      <c r="Y3" s="11">
        <f t="shared" si="1"/>
        <v>26.64</v>
      </c>
      <c r="Z3" s="11">
        <f t="shared" si="1"/>
        <v>188.96</v>
      </c>
      <c r="AA3" s="11">
        <f t="shared" si="1"/>
        <v>130.59960000000001</v>
      </c>
      <c r="AB3" s="11">
        <f t="shared" si="1"/>
        <v>0</v>
      </c>
      <c r="AC3" s="11">
        <f t="shared" si="1"/>
        <v>0</v>
      </c>
      <c r="AD3" s="5"/>
    </row>
    <row r="4" spans="1:30" ht="12" customHeight="1" x14ac:dyDescent="0.2">
      <c r="A4" s="12" t="s">
        <v>170</v>
      </c>
      <c r="B4" s="13">
        <v>3</v>
      </c>
      <c r="C4" s="13">
        <v>9.8000000000000007</v>
      </c>
      <c r="D4" s="13">
        <v>4</v>
      </c>
      <c r="E4" s="13">
        <f>+B4*C4</f>
        <v>29.400000000000002</v>
      </c>
      <c r="F4" s="13">
        <f t="shared" ref="F4" si="3">+(B4+C4)*2</f>
        <v>25.6</v>
      </c>
      <c r="G4" s="93">
        <f t="shared" ref="G4" si="4">+F4*D4</f>
        <v>102.4</v>
      </c>
      <c r="H4" s="15">
        <f t="shared" ref="H4:H8" si="5">+G4</f>
        <v>102.4</v>
      </c>
      <c r="I4" s="15"/>
      <c r="J4" s="202"/>
      <c r="K4" s="15"/>
      <c r="L4" s="15"/>
      <c r="M4" s="15"/>
      <c r="N4" s="15"/>
      <c r="O4" s="15"/>
      <c r="P4" s="15"/>
      <c r="Q4" s="15"/>
      <c r="R4" s="15">
        <f>+E4</f>
        <v>29.400000000000002</v>
      </c>
      <c r="S4" s="15"/>
      <c r="T4" s="15"/>
      <c r="U4" s="15"/>
      <c r="V4" s="15"/>
      <c r="W4" s="15"/>
      <c r="X4" s="15"/>
      <c r="Y4" s="15"/>
      <c r="Z4" s="15">
        <f>+N4+O4</f>
        <v>0</v>
      </c>
      <c r="AA4" s="15">
        <f>+Q4+R4</f>
        <v>29.400000000000002</v>
      </c>
      <c r="AB4" s="15"/>
      <c r="AC4" s="15"/>
      <c r="AD4" s="5"/>
    </row>
    <row r="5" spans="1:30" ht="12" customHeight="1" x14ac:dyDescent="0.2">
      <c r="A5" s="12" t="s">
        <v>27</v>
      </c>
      <c r="B5" s="13">
        <v>11.4</v>
      </c>
      <c r="C5" s="13">
        <v>8.36</v>
      </c>
      <c r="D5" s="13">
        <v>4</v>
      </c>
      <c r="E5" s="13">
        <f>+B5*C5</f>
        <v>95.304000000000002</v>
      </c>
      <c r="F5" s="13">
        <f>+(B5+C5)*2</f>
        <v>39.519999999999996</v>
      </c>
      <c r="G5" s="93">
        <f>+F5*D5</f>
        <v>158.07999999999998</v>
      </c>
      <c r="H5" s="15">
        <f>+G5</f>
        <v>158.07999999999998</v>
      </c>
      <c r="I5" s="15"/>
      <c r="J5" s="202"/>
      <c r="K5" s="15"/>
      <c r="L5" s="15"/>
      <c r="M5" s="15"/>
      <c r="N5" s="15"/>
      <c r="O5" s="15"/>
      <c r="P5" s="15"/>
      <c r="Q5" s="15"/>
      <c r="R5" s="15">
        <f>7.21*8.36</f>
        <v>60.275599999999997</v>
      </c>
      <c r="S5" s="15"/>
      <c r="T5" s="15"/>
      <c r="U5" s="15"/>
      <c r="V5" s="15"/>
      <c r="W5" s="15"/>
      <c r="X5" s="15"/>
      <c r="Y5" s="15"/>
      <c r="Z5" s="15">
        <f>+N5+O5</f>
        <v>0</v>
      </c>
      <c r="AA5" s="15">
        <f>+Q5+R5</f>
        <v>60.275599999999997</v>
      </c>
      <c r="AB5" s="15"/>
      <c r="AC5" s="15"/>
      <c r="AD5" s="5"/>
    </row>
    <row r="6" spans="1:30" ht="12" customHeight="1" x14ac:dyDescent="0.2">
      <c r="A6" s="12" t="s">
        <v>25</v>
      </c>
      <c r="B6" s="13">
        <v>7.7</v>
      </c>
      <c r="C6" s="13">
        <v>2.6</v>
      </c>
      <c r="D6" s="13">
        <v>4</v>
      </c>
      <c r="E6" s="13">
        <f t="shared" ref="E6:E8" si="6">+B6*C6</f>
        <v>20.02</v>
      </c>
      <c r="F6" s="13">
        <f t="shared" ref="F6:F8" si="7">+(B6+C6)*2</f>
        <v>20.6</v>
      </c>
      <c r="G6" s="93">
        <f t="shared" ref="G6:G8" si="8">+F6*D6</f>
        <v>82.4</v>
      </c>
      <c r="H6" s="15">
        <f t="shared" si="5"/>
        <v>82.4</v>
      </c>
      <c r="I6" s="15">
        <f t="shared" ref="I6:J7" si="9">+E6</f>
        <v>20.02</v>
      </c>
      <c r="J6" s="202">
        <f>I6</f>
        <v>20.02</v>
      </c>
      <c r="K6" s="15"/>
      <c r="L6" s="15"/>
      <c r="M6" s="15">
        <f t="shared" ref="M6:M7" si="10">+E6</f>
        <v>20.02</v>
      </c>
      <c r="N6" s="15"/>
      <c r="O6" s="15">
        <f>+G6-T6</f>
        <v>82.4</v>
      </c>
      <c r="P6" s="15">
        <f>+F6</f>
        <v>20.6</v>
      </c>
      <c r="Q6" s="15"/>
      <c r="R6" s="15">
        <f>+E6</f>
        <v>20.02</v>
      </c>
      <c r="S6" s="15">
        <v>7</v>
      </c>
      <c r="T6" s="15"/>
      <c r="U6" s="15">
        <f>+M6+K6</f>
        <v>20.02</v>
      </c>
      <c r="V6" s="15">
        <f>+F6</f>
        <v>20.6</v>
      </c>
      <c r="W6" s="15"/>
      <c r="X6" s="15"/>
      <c r="Y6" s="15"/>
      <c r="Z6" s="15">
        <f>+N6+O6</f>
        <v>82.4</v>
      </c>
      <c r="AA6" s="15">
        <f>+Q6+R6</f>
        <v>20.02</v>
      </c>
      <c r="AB6" s="15"/>
      <c r="AC6" s="15"/>
      <c r="AD6" s="5"/>
    </row>
    <row r="7" spans="1:30" ht="12" customHeight="1" x14ac:dyDescent="0.2">
      <c r="A7" s="12" t="s">
        <v>27</v>
      </c>
      <c r="B7" s="13">
        <v>5.4</v>
      </c>
      <c r="C7" s="13">
        <v>2.56</v>
      </c>
      <c r="D7" s="13">
        <v>4</v>
      </c>
      <c r="E7" s="13">
        <f t="shared" si="6"/>
        <v>13.824000000000002</v>
      </c>
      <c r="F7" s="13">
        <f t="shared" si="7"/>
        <v>15.920000000000002</v>
      </c>
      <c r="G7" s="93">
        <f t="shared" si="8"/>
        <v>63.680000000000007</v>
      </c>
      <c r="H7" s="15">
        <f t="shared" si="5"/>
        <v>63.680000000000007</v>
      </c>
      <c r="I7" s="15">
        <f t="shared" si="9"/>
        <v>13.824000000000002</v>
      </c>
      <c r="J7" s="202">
        <f>I7</f>
        <v>13.824000000000002</v>
      </c>
      <c r="K7" s="15"/>
      <c r="L7" s="15"/>
      <c r="M7" s="15">
        <f t="shared" si="10"/>
        <v>13.824000000000002</v>
      </c>
      <c r="N7" s="15"/>
      <c r="O7" s="15">
        <f>+G7-T7</f>
        <v>63.680000000000007</v>
      </c>
      <c r="P7" s="15">
        <f>+F7</f>
        <v>15.920000000000002</v>
      </c>
      <c r="Q7" s="15"/>
      <c r="R7" s="15">
        <f>+E7</f>
        <v>13.824000000000002</v>
      </c>
      <c r="S7" s="15"/>
      <c r="T7" s="15"/>
      <c r="U7" s="15"/>
      <c r="V7" s="15"/>
      <c r="W7" s="15"/>
      <c r="X7" s="15">
        <f>+E7</f>
        <v>13.824000000000002</v>
      </c>
      <c r="Y7" s="15">
        <f>+F7</f>
        <v>15.920000000000002</v>
      </c>
      <c r="Z7" s="15">
        <f>+N7+O7</f>
        <v>63.680000000000007</v>
      </c>
      <c r="AA7" s="15">
        <f>+Q7+R7</f>
        <v>13.824000000000002</v>
      </c>
      <c r="AB7" s="15"/>
      <c r="AC7" s="15"/>
      <c r="AD7" s="5"/>
    </row>
    <row r="8" spans="1:30" ht="12" customHeight="1" x14ac:dyDescent="0.2">
      <c r="A8" s="12" t="s">
        <v>28</v>
      </c>
      <c r="B8" s="13">
        <v>3</v>
      </c>
      <c r="C8" s="13">
        <v>2.36</v>
      </c>
      <c r="D8" s="13">
        <v>4</v>
      </c>
      <c r="E8" s="13">
        <f t="shared" si="6"/>
        <v>7.08</v>
      </c>
      <c r="F8" s="13">
        <f t="shared" si="7"/>
        <v>10.719999999999999</v>
      </c>
      <c r="G8" s="93">
        <f t="shared" si="8"/>
        <v>42.879999999999995</v>
      </c>
      <c r="H8" s="15">
        <f t="shared" si="5"/>
        <v>42.879999999999995</v>
      </c>
      <c r="I8" s="15">
        <f>+E8</f>
        <v>7.08</v>
      </c>
      <c r="J8" s="202">
        <f>I8</f>
        <v>7.08</v>
      </c>
      <c r="K8" s="15"/>
      <c r="L8" s="15"/>
      <c r="M8" s="15">
        <f>+E8</f>
        <v>7.08</v>
      </c>
      <c r="N8" s="15">
        <f>+G8</f>
        <v>42.879999999999995</v>
      </c>
      <c r="O8" s="15"/>
      <c r="P8" s="15"/>
      <c r="Q8" s="15">
        <f>+E8</f>
        <v>7.08</v>
      </c>
      <c r="R8" s="15"/>
      <c r="S8" s="15"/>
      <c r="T8" s="15"/>
      <c r="U8" s="15"/>
      <c r="V8" s="15"/>
      <c r="W8" s="15"/>
      <c r="X8" s="15">
        <f>+E8</f>
        <v>7.08</v>
      </c>
      <c r="Y8" s="15">
        <f>+F8</f>
        <v>10.719999999999999</v>
      </c>
      <c r="Z8" s="15">
        <f>+N8+O8</f>
        <v>42.879999999999995</v>
      </c>
      <c r="AA8" s="15">
        <f>+Q8+R8</f>
        <v>7.08</v>
      </c>
      <c r="AB8" s="15"/>
      <c r="AC8" s="15"/>
      <c r="AD8" s="5"/>
    </row>
    <row r="9" spans="1:30" ht="12" customHeight="1" x14ac:dyDescent="0.2">
      <c r="A9" s="12"/>
      <c r="B9" s="13"/>
      <c r="C9" s="13"/>
      <c r="D9" s="13"/>
      <c r="E9" s="13"/>
      <c r="F9" s="13"/>
      <c r="G9" s="93"/>
      <c r="H9" s="15"/>
      <c r="I9" s="15"/>
      <c r="J9" s="202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5"/>
    </row>
    <row r="10" spans="1:30" ht="12" customHeight="1" x14ac:dyDescent="0.2">
      <c r="A10" s="9" t="s">
        <v>247</v>
      </c>
      <c r="B10" s="10"/>
      <c r="C10" s="10"/>
      <c r="D10" s="10"/>
      <c r="E10" s="10"/>
      <c r="F10" s="10"/>
      <c r="G10" s="10"/>
      <c r="H10" s="96">
        <f>+H11+H17+H22</f>
        <v>350.62200000000001</v>
      </c>
      <c r="I10" s="96">
        <f t="shared" ref="I10:AC10" si="11">+I11+I17+I22</f>
        <v>103.2775</v>
      </c>
      <c r="J10" s="203">
        <f t="shared" ref="J10" si="12">+J11+J17+J22</f>
        <v>0</v>
      </c>
      <c r="K10" s="96">
        <f t="shared" si="11"/>
        <v>12.975000000000001</v>
      </c>
      <c r="L10" s="96">
        <f t="shared" si="11"/>
        <v>0</v>
      </c>
      <c r="M10" s="96">
        <f t="shared" si="11"/>
        <v>90.302500000000009</v>
      </c>
      <c r="N10" s="96">
        <f t="shared" si="11"/>
        <v>0</v>
      </c>
      <c r="O10" s="96">
        <f t="shared" si="11"/>
        <v>294.84199999999998</v>
      </c>
      <c r="P10" s="96">
        <f t="shared" si="11"/>
        <v>129.86000000000001</v>
      </c>
      <c r="Q10" s="96">
        <f t="shared" si="11"/>
        <v>67.531999999999996</v>
      </c>
      <c r="R10" s="96">
        <f t="shared" si="11"/>
        <v>47.770499999999998</v>
      </c>
      <c r="S10" s="96">
        <f t="shared" si="11"/>
        <v>15</v>
      </c>
      <c r="T10" s="96">
        <f t="shared" si="11"/>
        <v>72.3</v>
      </c>
      <c r="U10" s="96">
        <f t="shared" si="11"/>
        <v>90.302500000000009</v>
      </c>
      <c r="V10" s="96">
        <f t="shared" si="11"/>
        <v>0</v>
      </c>
      <c r="W10" s="96">
        <f t="shared" si="11"/>
        <v>106.26</v>
      </c>
      <c r="X10" s="96">
        <f t="shared" si="11"/>
        <v>12.975000000000001</v>
      </c>
      <c r="Y10" s="96">
        <f t="shared" si="11"/>
        <v>23.3</v>
      </c>
      <c r="Z10" s="96">
        <f t="shared" si="11"/>
        <v>294.84199999999998</v>
      </c>
      <c r="AA10" s="96">
        <f t="shared" si="11"/>
        <v>115.30249999999999</v>
      </c>
      <c r="AB10" s="96">
        <f t="shared" si="11"/>
        <v>4.74</v>
      </c>
      <c r="AC10" s="96">
        <f t="shared" si="11"/>
        <v>1.3499999999999999</v>
      </c>
      <c r="AD10" s="5"/>
    </row>
    <row r="11" spans="1:30" ht="12" customHeight="1" x14ac:dyDescent="0.2">
      <c r="A11" s="16" t="s">
        <v>29</v>
      </c>
      <c r="B11" s="17"/>
      <c r="C11" s="17"/>
      <c r="D11" s="17"/>
      <c r="E11" s="17"/>
      <c r="F11" s="17"/>
      <c r="G11" s="94"/>
      <c r="H11" s="97">
        <f t="shared" ref="H11:AC11" si="13">SUM(H12:H16)</f>
        <v>109.944</v>
      </c>
      <c r="I11" s="18">
        <f t="shared" si="13"/>
        <v>36.216000000000001</v>
      </c>
      <c r="J11" s="204">
        <f t="shared" ref="J11" si="14">SUM(J12:J16)</f>
        <v>0</v>
      </c>
      <c r="K11" s="18">
        <f t="shared" si="13"/>
        <v>8.1000000000000014</v>
      </c>
      <c r="L11" s="18">
        <f t="shared" si="13"/>
        <v>0</v>
      </c>
      <c r="M11" s="18">
        <f t="shared" si="13"/>
        <v>28.116</v>
      </c>
      <c r="N11" s="18">
        <f t="shared" si="13"/>
        <v>0</v>
      </c>
      <c r="O11" s="18">
        <f t="shared" si="13"/>
        <v>92.089000000000013</v>
      </c>
      <c r="P11" s="18">
        <f t="shared" si="13"/>
        <v>40.72</v>
      </c>
      <c r="Q11" s="18">
        <f t="shared" si="13"/>
        <v>18.966000000000001</v>
      </c>
      <c r="R11" s="18">
        <f t="shared" si="13"/>
        <v>23.65</v>
      </c>
      <c r="S11" s="18">
        <f t="shared" si="13"/>
        <v>8</v>
      </c>
      <c r="T11" s="18">
        <f t="shared" si="13"/>
        <v>23.594999999999995</v>
      </c>
      <c r="U11" s="18">
        <f t="shared" si="13"/>
        <v>28.116</v>
      </c>
      <c r="V11" s="18">
        <f t="shared" si="13"/>
        <v>0</v>
      </c>
      <c r="W11" s="18">
        <f t="shared" si="13"/>
        <v>32.519999999999996</v>
      </c>
      <c r="X11" s="18">
        <f t="shared" si="13"/>
        <v>8.1000000000000014</v>
      </c>
      <c r="Y11" s="18">
        <f t="shared" si="13"/>
        <v>13.8</v>
      </c>
      <c r="Z11" s="18">
        <f t="shared" si="13"/>
        <v>92.089000000000013</v>
      </c>
      <c r="AA11" s="18">
        <f t="shared" si="13"/>
        <v>42.616</v>
      </c>
      <c r="AB11" s="18">
        <f t="shared" si="13"/>
        <v>2.0999999999999996</v>
      </c>
      <c r="AC11" s="18">
        <f t="shared" si="13"/>
        <v>0.44999999999999996</v>
      </c>
      <c r="AD11" s="19"/>
    </row>
    <row r="12" spans="1:30" ht="12" customHeight="1" x14ac:dyDescent="0.2">
      <c r="A12" s="12" t="s">
        <v>30</v>
      </c>
      <c r="B12" s="13">
        <v>2.5</v>
      </c>
      <c r="C12" s="13">
        <v>5.6</v>
      </c>
      <c r="D12" s="13">
        <v>2.7</v>
      </c>
      <c r="E12" s="13">
        <f t="shared" ref="E12:E16" si="15">+B12*C12</f>
        <v>14</v>
      </c>
      <c r="F12" s="13">
        <f t="shared" ref="F12:F16" si="16">+(B12+C12)*2</f>
        <v>16.2</v>
      </c>
      <c r="G12" s="93">
        <f t="shared" ref="G12:G16" si="17">+F12*D12</f>
        <v>43.74</v>
      </c>
      <c r="H12" s="15">
        <f t="shared" ref="H12:H15" si="18">+G12</f>
        <v>43.74</v>
      </c>
      <c r="I12" s="15">
        <f t="shared" ref="I12:J16" si="19">+E12</f>
        <v>14</v>
      </c>
      <c r="J12" s="202"/>
      <c r="K12" s="15"/>
      <c r="L12" s="15"/>
      <c r="M12" s="15">
        <f t="shared" ref="M12:M14" si="20">+E12</f>
        <v>14</v>
      </c>
      <c r="N12" s="15"/>
      <c r="O12" s="15">
        <f>+G12-T12</f>
        <v>39.825000000000003</v>
      </c>
      <c r="P12" s="15">
        <f>+F12</f>
        <v>16.2</v>
      </c>
      <c r="Q12" s="15">
        <f>+E12-2.1*2.5</f>
        <v>8.75</v>
      </c>
      <c r="R12" s="15">
        <f>2.1*2.5+2.5+6</f>
        <v>13.75</v>
      </c>
      <c r="S12" s="15">
        <v>4</v>
      </c>
      <c r="T12" s="15">
        <f>+(0.6*2+1.5)*1.45</f>
        <v>3.915</v>
      </c>
      <c r="U12" s="15">
        <f>+M12+K12</f>
        <v>14</v>
      </c>
      <c r="V12" s="15"/>
      <c r="W12" s="15">
        <f>+F12-V12</f>
        <v>16.2</v>
      </c>
      <c r="X12" s="15"/>
      <c r="Y12" s="15"/>
      <c r="Z12" s="15">
        <f>+N12+O12</f>
        <v>39.825000000000003</v>
      </c>
      <c r="AA12" s="15">
        <f>+Q12+R12</f>
        <v>22.5</v>
      </c>
      <c r="AB12" s="15">
        <f>+(1.5*2)*0.7</f>
        <v>2.0999999999999996</v>
      </c>
      <c r="AC12" s="15"/>
      <c r="AD12" s="5"/>
    </row>
    <row r="13" spans="1:30" ht="12" customHeight="1" x14ac:dyDescent="0.2">
      <c r="A13" s="12" t="s">
        <v>172</v>
      </c>
      <c r="B13" s="13">
        <v>1</v>
      </c>
      <c r="C13" s="13">
        <v>1</v>
      </c>
      <c r="D13" s="13">
        <v>2.7</v>
      </c>
      <c r="E13" s="13">
        <f t="shared" si="15"/>
        <v>1</v>
      </c>
      <c r="F13" s="13">
        <f t="shared" si="16"/>
        <v>4</v>
      </c>
      <c r="G13" s="93">
        <f t="shared" si="17"/>
        <v>10.8</v>
      </c>
      <c r="H13" s="15">
        <f t="shared" si="18"/>
        <v>10.8</v>
      </c>
      <c r="I13" s="15">
        <f t="shared" si="19"/>
        <v>1</v>
      </c>
      <c r="J13" s="202"/>
      <c r="K13" s="15"/>
      <c r="L13" s="15"/>
      <c r="M13" s="15">
        <f t="shared" si="20"/>
        <v>1</v>
      </c>
      <c r="N13" s="15"/>
      <c r="O13" s="15">
        <f>+G13-T13</f>
        <v>10.8</v>
      </c>
      <c r="P13" s="15">
        <f>+F13</f>
        <v>4</v>
      </c>
      <c r="Q13" s="15">
        <f>+E13</f>
        <v>1</v>
      </c>
      <c r="R13" s="15"/>
      <c r="S13" s="15">
        <v>2</v>
      </c>
      <c r="T13" s="15"/>
      <c r="U13" s="15">
        <f>+M13+K13</f>
        <v>1</v>
      </c>
      <c r="V13" s="15"/>
      <c r="W13" s="15">
        <f>+F13-V13</f>
        <v>4</v>
      </c>
      <c r="X13" s="15"/>
      <c r="Y13" s="15"/>
      <c r="Z13" s="15">
        <f>+N13+O13</f>
        <v>10.8</v>
      </c>
      <c r="AA13" s="15">
        <f>+Q13+R13</f>
        <v>1</v>
      </c>
      <c r="AB13" s="15"/>
      <c r="AC13" s="15"/>
      <c r="AD13" s="5"/>
    </row>
    <row r="14" spans="1:30" ht="12" customHeight="1" x14ac:dyDescent="0.2">
      <c r="A14" s="12" t="s">
        <v>31</v>
      </c>
      <c r="B14" s="13">
        <v>2.56</v>
      </c>
      <c r="C14" s="13">
        <v>3.6</v>
      </c>
      <c r="D14" s="13">
        <v>2.7</v>
      </c>
      <c r="E14" s="13">
        <f t="shared" si="15"/>
        <v>9.2160000000000011</v>
      </c>
      <c r="F14" s="13">
        <f t="shared" si="16"/>
        <v>12.32</v>
      </c>
      <c r="G14" s="93">
        <f t="shared" si="17"/>
        <v>33.264000000000003</v>
      </c>
      <c r="H14" s="15">
        <f>+G14</f>
        <v>33.264000000000003</v>
      </c>
      <c r="I14" s="15">
        <f t="shared" si="19"/>
        <v>9.2160000000000011</v>
      </c>
      <c r="J14" s="202"/>
      <c r="K14" s="15"/>
      <c r="L14" s="15"/>
      <c r="M14" s="15">
        <f t="shared" si="20"/>
        <v>9.2160000000000011</v>
      </c>
      <c r="N14" s="15"/>
      <c r="O14" s="15">
        <f>+G14-T14</f>
        <v>33.264000000000003</v>
      </c>
      <c r="P14" s="15">
        <f>+F14</f>
        <v>12.32</v>
      </c>
      <c r="Q14" s="15">
        <f>+E14</f>
        <v>9.2160000000000011</v>
      </c>
      <c r="R14" s="15">
        <v>6</v>
      </c>
      <c r="S14" s="15">
        <v>2</v>
      </c>
      <c r="T14" s="15"/>
      <c r="U14" s="15">
        <f>+M14+K14</f>
        <v>9.2160000000000011</v>
      </c>
      <c r="V14" s="15"/>
      <c r="W14" s="15">
        <f>+F14-V14</f>
        <v>12.32</v>
      </c>
      <c r="X14" s="15"/>
      <c r="Y14" s="15"/>
      <c r="Z14" s="15">
        <f>+N14+O14</f>
        <v>33.264000000000003</v>
      </c>
      <c r="AA14" s="15">
        <f>+Q14+R14</f>
        <v>15.216000000000001</v>
      </c>
      <c r="AB14" s="15"/>
      <c r="AC14" s="15"/>
      <c r="AD14" s="5"/>
    </row>
    <row r="15" spans="1:30" ht="12" customHeight="1" x14ac:dyDescent="0.2">
      <c r="A15" s="12" t="s">
        <v>26</v>
      </c>
      <c r="B15" s="13">
        <v>2.6</v>
      </c>
      <c r="C15" s="13">
        <v>1.5</v>
      </c>
      <c r="D15" s="13">
        <v>2.7</v>
      </c>
      <c r="E15" s="13">
        <f t="shared" si="15"/>
        <v>3.9000000000000004</v>
      </c>
      <c r="F15" s="13">
        <f t="shared" si="16"/>
        <v>8.1999999999999993</v>
      </c>
      <c r="G15" s="93">
        <f t="shared" si="17"/>
        <v>22.14</v>
      </c>
      <c r="H15" s="15">
        <f t="shared" si="18"/>
        <v>22.14</v>
      </c>
      <c r="I15" s="15">
        <f t="shared" si="19"/>
        <v>3.9000000000000004</v>
      </c>
      <c r="J15" s="202"/>
      <c r="K15" s="15"/>
      <c r="L15" s="15"/>
      <c r="M15" s="15">
        <f>+E15-K15</f>
        <v>3.9000000000000004</v>
      </c>
      <c r="N15" s="15"/>
      <c r="O15" s="15">
        <f>+F15</f>
        <v>8.1999999999999993</v>
      </c>
      <c r="P15" s="15">
        <f>+F15</f>
        <v>8.1999999999999993</v>
      </c>
      <c r="Q15" s="15"/>
      <c r="R15" s="15">
        <f>+E15</f>
        <v>3.9000000000000004</v>
      </c>
      <c r="S15" s="15"/>
      <c r="T15" s="15">
        <f>+F15*2.4</f>
        <v>19.679999999999996</v>
      </c>
      <c r="U15" s="15">
        <f>+M15+K15</f>
        <v>3.9000000000000004</v>
      </c>
      <c r="V15" s="15"/>
      <c r="W15" s="15"/>
      <c r="X15" s="15"/>
      <c r="Y15" s="15"/>
      <c r="Z15" s="15">
        <f>+N15+O15</f>
        <v>8.1999999999999993</v>
      </c>
      <c r="AA15" s="15">
        <f>+Q15+R15</f>
        <v>3.9000000000000004</v>
      </c>
      <c r="AB15" s="15"/>
      <c r="AC15" s="15">
        <f>1.5*0.15*2</f>
        <v>0.44999999999999996</v>
      </c>
      <c r="AD15" s="5"/>
    </row>
    <row r="16" spans="1:30" ht="12" customHeight="1" x14ac:dyDescent="0.2">
      <c r="A16" s="12" t="s">
        <v>32</v>
      </c>
      <c r="B16" s="13">
        <v>1.5</v>
      </c>
      <c r="C16" s="13">
        <v>5.4</v>
      </c>
      <c r="D16" s="13">
        <v>2.7</v>
      </c>
      <c r="E16" s="13">
        <f t="shared" si="15"/>
        <v>8.1000000000000014</v>
      </c>
      <c r="F16" s="13">
        <f t="shared" si="16"/>
        <v>13.8</v>
      </c>
      <c r="G16" s="93">
        <f t="shared" si="17"/>
        <v>37.260000000000005</v>
      </c>
      <c r="H16" s="15"/>
      <c r="I16" s="15">
        <f t="shared" si="19"/>
        <v>8.1000000000000014</v>
      </c>
      <c r="J16" s="202"/>
      <c r="K16" s="15">
        <f t="shared" ref="K16" si="21">+E16</f>
        <v>8.1000000000000014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>
        <f>+E16</f>
        <v>8.1000000000000014</v>
      </c>
      <c r="Y16" s="15">
        <f>+F16</f>
        <v>13.8</v>
      </c>
      <c r="Z16" s="15"/>
      <c r="AA16" s="15"/>
      <c r="AB16" s="15"/>
      <c r="AC16" s="15"/>
      <c r="AD16" s="5"/>
    </row>
    <row r="17" spans="1:30" ht="12" customHeight="1" x14ac:dyDescent="0.2">
      <c r="A17" s="16" t="s">
        <v>33</v>
      </c>
      <c r="B17" s="17"/>
      <c r="C17" s="17"/>
      <c r="D17" s="17"/>
      <c r="E17" s="17"/>
      <c r="F17" s="17"/>
      <c r="G17" s="94"/>
      <c r="H17" s="97">
        <f t="shared" ref="H17:AC17" si="22">SUM(H18:H21)</f>
        <v>87.48</v>
      </c>
      <c r="I17" s="18">
        <f t="shared" si="22"/>
        <v>29.274999999999999</v>
      </c>
      <c r="J17" s="204">
        <f t="shared" ref="J17" si="23">SUM(J18:J21)</f>
        <v>0</v>
      </c>
      <c r="K17" s="18">
        <f t="shared" si="22"/>
        <v>4.875</v>
      </c>
      <c r="L17" s="18">
        <f t="shared" si="22"/>
        <v>0</v>
      </c>
      <c r="M17" s="18">
        <f t="shared" si="22"/>
        <v>24.4</v>
      </c>
      <c r="N17" s="18">
        <f t="shared" si="22"/>
        <v>0</v>
      </c>
      <c r="O17" s="18">
        <f t="shared" si="22"/>
        <v>72.195000000000007</v>
      </c>
      <c r="P17" s="18">
        <f t="shared" si="22"/>
        <v>32.4</v>
      </c>
      <c r="Q17" s="18">
        <f t="shared" si="22"/>
        <v>18</v>
      </c>
      <c r="R17" s="18">
        <f t="shared" si="22"/>
        <v>8.4</v>
      </c>
      <c r="S17" s="18">
        <f t="shared" si="22"/>
        <v>2</v>
      </c>
      <c r="T17" s="18">
        <f t="shared" si="22"/>
        <v>20.325000000000003</v>
      </c>
      <c r="U17" s="18">
        <f t="shared" si="22"/>
        <v>24.4</v>
      </c>
      <c r="V17" s="18">
        <f t="shared" si="22"/>
        <v>0</v>
      </c>
      <c r="W17" s="18">
        <f t="shared" si="22"/>
        <v>25.2</v>
      </c>
      <c r="X17" s="18">
        <f t="shared" si="22"/>
        <v>4.875</v>
      </c>
      <c r="Y17" s="18">
        <f t="shared" si="22"/>
        <v>9.5</v>
      </c>
      <c r="Z17" s="18">
        <f t="shared" si="22"/>
        <v>72.195000000000007</v>
      </c>
      <c r="AA17" s="18">
        <f t="shared" si="22"/>
        <v>26.4</v>
      </c>
      <c r="AB17" s="18">
        <f t="shared" si="22"/>
        <v>0.89999999999999991</v>
      </c>
      <c r="AC17" s="18">
        <f t="shared" si="22"/>
        <v>0.44999999999999996</v>
      </c>
      <c r="AD17" s="19"/>
    </row>
    <row r="18" spans="1:30" s="90" customFormat="1" ht="12" customHeight="1" x14ac:dyDescent="0.2">
      <c r="A18" s="12" t="s">
        <v>248</v>
      </c>
      <c r="B18" s="13">
        <v>6</v>
      </c>
      <c r="C18" s="13">
        <v>3</v>
      </c>
      <c r="D18" s="13">
        <v>2.7</v>
      </c>
      <c r="E18" s="13">
        <f t="shared" ref="E18:E21" si="24">+B18*C18</f>
        <v>18</v>
      </c>
      <c r="F18" s="13">
        <f t="shared" ref="F18:F21" si="25">+(B18+C18)*2</f>
        <v>18</v>
      </c>
      <c r="G18" s="93">
        <f t="shared" ref="G18:G21" si="26">+F18*D18</f>
        <v>48.6</v>
      </c>
      <c r="H18" s="15">
        <f>+G18</f>
        <v>48.6</v>
      </c>
      <c r="I18" s="15">
        <f t="shared" ref="I18:J21" si="27">+E18</f>
        <v>18</v>
      </c>
      <c r="J18" s="202"/>
      <c r="K18" s="15"/>
      <c r="L18" s="15"/>
      <c r="M18" s="15">
        <f t="shared" ref="M18" si="28">+E18</f>
        <v>18</v>
      </c>
      <c r="N18" s="15"/>
      <c r="O18" s="15">
        <f>+G18-T18</f>
        <v>48.6</v>
      </c>
      <c r="P18" s="15">
        <f>+F18</f>
        <v>18</v>
      </c>
      <c r="Q18" s="15">
        <f>+E18</f>
        <v>18</v>
      </c>
      <c r="R18" s="15"/>
      <c r="S18" s="15">
        <v>2</v>
      </c>
      <c r="T18" s="15"/>
      <c r="U18" s="15">
        <f>+M18+K18</f>
        <v>18</v>
      </c>
      <c r="V18" s="15"/>
      <c r="W18" s="15">
        <f>+F18-V18</f>
        <v>18</v>
      </c>
      <c r="X18" s="15"/>
      <c r="Y18" s="15"/>
      <c r="Z18" s="15">
        <f>+N18+O18</f>
        <v>48.6</v>
      </c>
      <c r="AA18" s="15">
        <f>+Q18+R18</f>
        <v>18</v>
      </c>
      <c r="AB18" s="15"/>
      <c r="AC18" s="15"/>
      <c r="AD18" s="5"/>
    </row>
    <row r="19" spans="1:30" s="67" customFormat="1" ht="12" customHeight="1" x14ac:dyDescent="0.2">
      <c r="A19" s="12" t="s">
        <v>249</v>
      </c>
      <c r="B19" s="13">
        <v>1.6</v>
      </c>
      <c r="C19" s="13">
        <v>2</v>
      </c>
      <c r="D19" s="13">
        <v>2.7</v>
      </c>
      <c r="E19" s="13">
        <f>+B19*C19</f>
        <v>3.2</v>
      </c>
      <c r="F19" s="13">
        <f>+(B19+C19)*2</f>
        <v>7.2</v>
      </c>
      <c r="G19" s="93">
        <f>+F19*D19</f>
        <v>19.440000000000001</v>
      </c>
      <c r="H19" s="15">
        <f>+G19</f>
        <v>19.440000000000001</v>
      </c>
      <c r="I19" s="15">
        <f>+E19</f>
        <v>3.2</v>
      </c>
      <c r="J19" s="202"/>
      <c r="K19" s="15"/>
      <c r="L19" s="15"/>
      <c r="M19" s="15">
        <f>+E19</f>
        <v>3.2</v>
      </c>
      <c r="N19" s="15"/>
      <c r="O19" s="15">
        <f>+G19-T19</f>
        <v>16.395000000000003</v>
      </c>
      <c r="P19" s="15">
        <f>+F19</f>
        <v>7.2</v>
      </c>
      <c r="Q19" s="15"/>
      <c r="R19" s="15">
        <f>1.6*2+2</f>
        <v>5.2</v>
      </c>
      <c r="S19" s="15"/>
      <c r="T19" s="15">
        <f>+(1.5+0.6)*1.45</f>
        <v>3.0449999999999999</v>
      </c>
      <c r="U19" s="15">
        <f>+M19+K19</f>
        <v>3.2</v>
      </c>
      <c r="V19" s="15"/>
      <c r="W19" s="15">
        <f>+F19-V19</f>
        <v>7.2</v>
      </c>
      <c r="X19" s="15"/>
      <c r="Y19" s="15"/>
      <c r="Z19" s="15">
        <f>+N19+O19</f>
        <v>16.395000000000003</v>
      </c>
      <c r="AA19" s="15">
        <f>+Q19+R19</f>
        <v>5.2</v>
      </c>
      <c r="AB19" s="15">
        <f>1.5*0.6</f>
        <v>0.89999999999999991</v>
      </c>
      <c r="AC19" s="15"/>
      <c r="AD19" s="5"/>
    </row>
    <row r="20" spans="1:30" s="67" customFormat="1" ht="12" customHeight="1" x14ac:dyDescent="0.2">
      <c r="A20" s="12" t="s">
        <v>26</v>
      </c>
      <c r="B20" s="13">
        <v>1.6</v>
      </c>
      <c r="C20" s="13">
        <v>2</v>
      </c>
      <c r="D20" s="13">
        <v>2.7</v>
      </c>
      <c r="E20" s="13">
        <f t="shared" si="24"/>
        <v>3.2</v>
      </c>
      <c r="F20" s="13">
        <f t="shared" si="25"/>
        <v>7.2</v>
      </c>
      <c r="G20" s="93">
        <f t="shared" si="26"/>
        <v>19.440000000000001</v>
      </c>
      <c r="H20" s="15">
        <f t="shared" ref="H20" si="29">+G20</f>
        <v>19.440000000000001</v>
      </c>
      <c r="I20" s="15">
        <f t="shared" si="27"/>
        <v>3.2</v>
      </c>
      <c r="J20" s="202"/>
      <c r="K20" s="15"/>
      <c r="L20" s="15"/>
      <c r="M20" s="15">
        <f>+E20-K20</f>
        <v>3.2</v>
      </c>
      <c r="N20" s="15"/>
      <c r="O20" s="15">
        <f>+F20</f>
        <v>7.2</v>
      </c>
      <c r="P20" s="15">
        <f>+F20</f>
        <v>7.2</v>
      </c>
      <c r="Q20" s="15"/>
      <c r="R20" s="15">
        <f>+E20</f>
        <v>3.2</v>
      </c>
      <c r="S20" s="15"/>
      <c r="T20" s="15">
        <f>+F20*2.4</f>
        <v>17.28</v>
      </c>
      <c r="U20" s="15">
        <f>+M20+K20</f>
        <v>3.2</v>
      </c>
      <c r="V20" s="15"/>
      <c r="W20" s="15"/>
      <c r="X20" s="15"/>
      <c r="Y20" s="15"/>
      <c r="Z20" s="15">
        <f>+N20+O20</f>
        <v>7.2</v>
      </c>
      <c r="AA20" s="15">
        <f>+Q20+R20</f>
        <v>3.2</v>
      </c>
      <c r="AB20" s="15"/>
      <c r="AC20" s="15">
        <f>1.5*0.15*2</f>
        <v>0.44999999999999996</v>
      </c>
      <c r="AD20" s="5"/>
    </row>
    <row r="21" spans="1:30" s="67" customFormat="1" ht="12" customHeight="1" x14ac:dyDescent="0.2">
      <c r="A21" s="12" t="s">
        <v>32</v>
      </c>
      <c r="B21" s="13">
        <v>1.5</v>
      </c>
      <c r="C21" s="13">
        <v>3.25</v>
      </c>
      <c r="D21" s="13">
        <v>2.7</v>
      </c>
      <c r="E21" s="13">
        <f t="shared" si="24"/>
        <v>4.875</v>
      </c>
      <c r="F21" s="13">
        <f t="shared" si="25"/>
        <v>9.5</v>
      </c>
      <c r="G21" s="93">
        <f t="shared" si="26"/>
        <v>25.650000000000002</v>
      </c>
      <c r="H21" s="15"/>
      <c r="I21" s="15">
        <f t="shared" si="27"/>
        <v>4.875</v>
      </c>
      <c r="J21" s="202"/>
      <c r="K21" s="15">
        <f t="shared" ref="K21" si="30">+E21</f>
        <v>4.875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>
        <f>+E21</f>
        <v>4.875</v>
      </c>
      <c r="Y21" s="15">
        <f>+F21</f>
        <v>9.5</v>
      </c>
      <c r="Z21" s="15"/>
      <c r="AA21" s="15"/>
      <c r="AB21" s="15"/>
      <c r="AC21" s="15"/>
      <c r="AD21" s="5"/>
    </row>
    <row r="22" spans="1:30" s="67" customFormat="1" ht="12" customHeight="1" x14ac:dyDescent="0.2">
      <c r="A22" s="16" t="s">
        <v>34</v>
      </c>
      <c r="B22" s="17"/>
      <c r="C22" s="17"/>
      <c r="D22" s="17"/>
      <c r="E22" s="17"/>
      <c r="F22" s="17"/>
      <c r="G22" s="94"/>
      <c r="H22" s="97">
        <f t="shared" ref="H22:AC22" si="31">SUM(H23:H28)</f>
        <v>153.19800000000001</v>
      </c>
      <c r="I22" s="97">
        <f t="shared" si="31"/>
        <v>37.786500000000004</v>
      </c>
      <c r="J22" s="205">
        <f t="shared" ref="J22" si="32">SUM(J23:J28)</f>
        <v>0</v>
      </c>
      <c r="K22" s="97">
        <f t="shared" si="31"/>
        <v>0</v>
      </c>
      <c r="L22" s="97">
        <f t="shared" si="31"/>
        <v>0</v>
      </c>
      <c r="M22" s="97">
        <f t="shared" si="31"/>
        <v>37.786500000000004</v>
      </c>
      <c r="N22" s="97">
        <f t="shared" si="31"/>
        <v>0</v>
      </c>
      <c r="O22" s="97">
        <f t="shared" si="31"/>
        <v>130.55799999999999</v>
      </c>
      <c r="P22" s="97">
        <f t="shared" si="31"/>
        <v>56.739999999999995</v>
      </c>
      <c r="Q22" s="97">
        <f t="shared" si="31"/>
        <v>30.565999999999999</v>
      </c>
      <c r="R22" s="97">
        <f t="shared" si="31"/>
        <v>15.720499999999999</v>
      </c>
      <c r="S22" s="97">
        <f t="shared" si="31"/>
        <v>5</v>
      </c>
      <c r="T22" s="97">
        <f t="shared" si="31"/>
        <v>28.379999999999995</v>
      </c>
      <c r="U22" s="97">
        <f t="shared" si="31"/>
        <v>37.786500000000004</v>
      </c>
      <c r="V22" s="97">
        <f t="shared" si="31"/>
        <v>0</v>
      </c>
      <c r="W22" s="97">
        <f t="shared" si="31"/>
        <v>48.540000000000006</v>
      </c>
      <c r="X22" s="97">
        <f t="shared" si="31"/>
        <v>0</v>
      </c>
      <c r="Y22" s="97">
        <f t="shared" si="31"/>
        <v>0</v>
      </c>
      <c r="Z22" s="97">
        <f t="shared" si="31"/>
        <v>130.55799999999999</v>
      </c>
      <c r="AA22" s="97">
        <f t="shared" si="31"/>
        <v>46.286500000000004</v>
      </c>
      <c r="AB22" s="97">
        <f t="shared" si="31"/>
        <v>1.7400000000000002</v>
      </c>
      <c r="AC22" s="97">
        <f t="shared" si="31"/>
        <v>0.44999999999999996</v>
      </c>
      <c r="AD22" s="19"/>
    </row>
    <row r="23" spans="1:30" s="67" customFormat="1" ht="12" customHeight="1" x14ac:dyDescent="0.2">
      <c r="A23" s="12" t="s">
        <v>171</v>
      </c>
      <c r="B23" s="13">
        <v>0.9</v>
      </c>
      <c r="C23" s="13">
        <v>1.9</v>
      </c>
      <c r="D23" s="13">
        <v>2.7</v>
      </c>
      <c r="E23" s="13">
        <f t="shared" ref="E23:E26" si="33">+B23*C23</f>
        <v>1.71</v>
      </c>
      <c r="F23" s="13">
        <f t="shared" ref="F23:F26" si="34">+(B23+C23)*2</f>
        <v>5.6</v>
      </c>
      <c r="G23" s="93">
        <f t="shared" ref="G23:G26" si="35">+F23*D23</f>
        <v>15.12</v>
      </c>
      <c r="H23" s="15">
        <f t="shared" ref="H23:H26" si="36">+G23</f>
        <v>15.12</v>
      </c>
      <c r="I23" s="15">
        <f t="shared" ref="I23:J26" si="37">+E23</f>
        <v>1.71</v>
      </c>
      <c r="J23" s="202"/>
      <c r="K23" s="15"/>
      <c r="L23" s="15"/>
      <c r="M23" s="15">
        <f t="shared" ref="M23:M25" si="38">+E23</f>
        <v>1.71</v>
      </c>
      <c r="N23" s="15"/>
      <c r="O23" s="15">
        <f>+G23</f>
        <v>15.12</v>
      </c>
      <c r="P23" s="15">
        <f t="shared" ref="P23:P28" si="39">+F23</f>
        <v>5.6</v>
      </c>
      <c r="Q23" s="15">
        <f>+E23</f>
        <v>1.71</v>
      </c>
      <c r="R23" s="15"/>
      <c r="S23" s="15"/>
      <c r="T23" s="15"/>
      <c r="U23" s="15">
        <f t="shared" ref="U23:U28" si="40">+M23+K23</f>
        <v>1.71</v>
      </c>
      <c r="V23" s="15"/>
      <c r="W23" s="15">
        <f>+F23-V23</f>
        <v>5.6</v>
      </c>
      <c r="X23" s="15"/>
      <c r="Y23" s="15"/>
      <c r="Z23" s="15">
        <f t="shared" ref="Z23:Z28" si="41">+N23+O23</f>
        <v>15.12</v>
      </c>
      <c r="AA23" s="15">
        <f t="shared" ref="AA23:AA28" si="42">+Q23+R23</f>
        <v>1.71</v>
      </c>
      <c r="AB23" s="15"/>
      <c r="AC23" s="15"/>
      <c r="AD23" s="5"/>
    </row>
    <row r="24" spans="1:30" s="67" customFormat="1" ht="12" customHeight="1" x14ac:dyDescent="0.2">
      <c r="A24" s="12" t="s">
        <v>30</v>
      </c>
      <c r="B24" s="13">
        <v>4.1100000000000003</v>
      </c>
      <c r="C24" s="13">
        <v>3.6</v>
      </c>
      <c r="D24" s="13">
        <v>2.7</v>
      </c>
      <c r="E24" s="13">
        <f>+B24*C24</f>
        <v>14.796000000000001</v>
      </c>
      <c r="F24" s="13">
        <f t="shared" si="34"/>
        <v>15.420000000000002</v>
      </c>
      <c r="G24" s="93">
        <f t="shared" si="35"/>
        <v>41.634000000000007</v>
      </c>
      <c r="H24" s="15">
        <f t="shared" si="36"/>
        <v>41.634000000000007</v>
      </c>
      <c r="I24" s="15">
        <f t="shared" si="37"/>
        <v>14.796000000000001</v>
      </c>
      <c r="J24" s="202"/>
      <c r="K24" s="15"/>
      <c r="L24" s="15"/>
      <c r="M24" s="15">
        <f t="shared" si="38"/>
        <v>14.796000000000001</v>
      </c>
      <c r="N24" s="15"/>
      <c r="O24" s="15">
        <f>+G24-T24</f>
        <v>36.269000000000005</v>
      </c>
      <c r="P24" s="15">
        <f t="shared" si="39"/>
        <v>15.420000000000002</v>
      </c>
      <c r="Q24" s="15">
        <f>+E24-2.5*0.6</f>
        <v>13.296000000000001</v>
      </c>
      <c r="R24" s="15">
        <f>2.5*0.6+2.5</f>
        <v>4</v>
      </c>
      <c r="S24" s="15">
        <v>2</v>
      </c>
      <c r="T24" s="15">
        <f>+(0.6*2+2.5)*1.45</f>
        <v>5.3650000000000002</v>
      </c>
      <c r="U24" s="15">
        <f t="shared" si="40"/>
        <v>14.796000000000001</v>
      </c>
      <c r="V24" s="15"/>
      <c r="W24" s="15">
        <f>+F24-V24</f>
        <v>15.420000000000002</v>
      </c>
      <c r="X24" s="15"/>
      <c r="Y24" s="15"/>
      <c r="Z24" s="15">
        <f t="shared" si="41"/>
        <v>36.269000000000005</v>
      </c>
      <c r="AA24" s="15">
        <f t="shared" si="42"/>
        <v>17.295999999999999</v>
      </c>
      <c r="AB24" s="15">
        <f>1.8*0.6</f>
        <v>1.08</v>
      </c>
      <c r="AC24" s="15"/>
      <c r="AD24" s="5"/>
    </row>
    <row r="25" spans="1:30" s="67" customFormat="1" ht="12" customHeight="1" x14ac:dyDescent="0.2">
      <c r="A25" s="12" t="s">
        <v>172</v>
      </c>
      <c r="B25" s="13">
        <v>1.7</v>
      </c>
      <c r="C25" s="13">
        <v>2.8</v>
      </c>
      <c r="D25" s="13">
        <v>2.7</v>
      </c>
      <c r="E25" s="13">
        <f t="shared" si="33"/>
        <v>4.76</v>
      </c>
      <c r="F25" s="13">
        <f t="shared" si="34"/>
        <v>9</v>
      </c>
      <c r="G25" s="93">
        <f t="shared" si="35"/>
        <v>24.3</v>
      </c>
      <c r="H25" s="15">
        <f t="shared" si="36"/>
        <v>24.3</v>
      </c>
      <c r="I25" s="15">
        <f t="shared" si="37"/>
        <v>4.76</v>
      </c>
      <c r="J25" s="202"/>
      <c r="K25" s="15"/>
      <c r="L25" s="15"/>
      <c r="M25" s="15">
        <f t="shared" si="38"/>
        <v>4.76</v>
      </c>
      <c r="N25" s="15"/>
      <c r="O25" s="15">
        <f>+G25-T25</f>
        <v>24.3</v>
      </c>
      <c r="P25" s="15">
        <f t="shared" si="39"/>
        <v>9</v>
      </c>
      <c r="Q25" s="15">
        <f>+E25</f>
        <v>4.76</v>
      </c>
      <c r="R25" s="15"/>
      <c r="S25" s="15">
        <v>2</v>
      </c>
      <c r="T25" s="15"/>
      <c r="U25" s="15">
        <f t="shared" si="40"/>
        <v>4.76</v>
      </c>
      <c r="V25" s="15"/>
      <c r="W25" s="15">
        <f>+F25-V25</f>
        <v>9</v>
      </c>
      <c r="X25" s="15"/>
      <c r="Y25" s="15"/>
      <c r="Z25" s="15">
        <f t="shared" si="41"/>
        <v>24.3</v>
      </c>
      <c r="AA25" s="15">
        <f t="shared" si="42"/>
        <v>4.76</v>
      </c>
      <c r="AB25" s="15"/>
      <c r="AC25" s="15"/>
      <c r="AD25" s="5"/>
    </row>
    <row r="26" spans="1:30" s="67" customFormat="1" ht="12" customHeight="1" x14ac:dyDescent="0.2">
      <c r="A26" s="12" t="s">
        <v>26</v>
      </c>
      <c r="B26" s="13">
        <v>2.5</v>
      </c>
      <c r="C26" s="13">
        <v>1.6</v>
      </c>
      <c r="D26" s="13">
        <v>2.7</v>
      </c>
      <c r="E26" s="13">
        <f t="shared" si="33"/>
        <v>4</v>
      </c>
      <c r="F26" s="13">
        <f t="shared" si="34"/>
        <v>8.1999999999999993</v>
      </c>
      <c r="G26" s="93">
        <f t="shared" si="35"/>
        <v>22.14</v>
      </c>
      <c r="H26" s="15">
        <f t="shared" si="36"/>
        <v>22.14</v>
      </c>
      <c r="I26" s="15">
        <f t="shared" si="37"/>
        <v>4</v>
      </c>
      <c r="J26" s="202"/>
      <c r="K26" s="15"/>
      <c r="L26" s="15"/>
      <c r="M26" s="15">
        <f>+E26-K26</f>
        <v>4</v>
      </c>
      <c r="N26" s="15"/>
      <c r="O26" s="15">
        <f>+F26</f>
        <v>8.1999999999999993</v>
      </c>
      <c r="P26" s="15">
        <f t="shared" si="39"/>
        <v>8.1999999999999993</v>
      </c>
      <c r="Q26" s="15"/>
      <c r="R26" s="15">
        <f>+E26</f>
        <v>4</v>
      </c>
      <c r="S26" s="15"/>
      <c r="T26" s="15">
        <f>+F26*2.4</f>
        <v>19.679999999999996</v>
      </c>
      <c r="U26" s="15">
        <f t="shared" si="40"/>
        <v>4</v>
      </c>
      <c r="V26" s="15"/>
      <c r="W26" s="15"/>
      <c r="X26" s="15"/>
      <c r="Y26" s="15"/>
      <c r="Z26" s="15">
        <f t="shared" si="41"/>
        <v>8.1999999999999993</v>
      </c>
      <c r="AA26" s="15">
        <f t="shared" si="42"/>
        <v>4</v>
      </c>
      <c r="AB26" s="15"/>
      <c r="AC26" s="15">
        <f>1.5*0.15*2</f>
        <v>0.44999999999999996</v>
      </c>
      <c r="AD26" s="5"/>
    </row>
    <row r="27" spans="1:30" s="90" customFormat="1" ht="12" customHeight="1" x14ac:dyDescent="0.2">
      <c r="A27" s="12" t="s">
        <v>250</v>
      </c>
      <c r="B27" s="13">
        <v>1.1100000000000001</v>
      </c>
      <c r="C27" s="13">
        <v>1.55</v>
      </c>
      <c r="D27" s="13">
        <v>2.7</v>
      </c>
      <c r="E27" s="13">
        <f>+B27*C27</f>
        <v>1.7205000000000001</v>
      </c>
      <c r="F27" s="13">
        <f t="shared" ref="F27" si="43">+(B27+C27)*2</f>
        <v>5.32</v>
      </c>
      <c r="G27" s="93">
        <f t="shared" ref="G27" si="44">+F27*D27</f>
        <v>14.364000000000003</v>
      </c>
      <c r="H27" s="15">
        <f t="shared" ref="H27" si="45">+G27</f>
        <v>14.364000000000003</v>
      </c>
      <c r="I27" s="15">
        <f t="shared" ref="I27:J27" si="46">+E27</f>
        <v>1.7205000000000001</v>
      </c>
      <c r="J27" s="202"/>
      <c r="K27" s="15"/>
      <c r="L27" s="15"/>
      <c r="M27" s="15">
        <f t="shared" ref="M27" si="47">+E27</f>
        <v>1.7205000000000001</v>
      </c>
      <c r="N27" s="15"/>
      <c r="O27" s="15">
        <f>+G27-T27</f>
        <v>11.029000000000003</v>
      </c>
      <c r="P27" s="15">
        <f t="shared" si="39"/>
        <v>5.32</v>
      </c>
      <c r="Q27" s="15"/>
      <c r="R27" s="15">
        <f>+E27</f>
        <v>1.7205000000000001</v>
      </c>
      <c r="S27" s="15"/>
      <c r="T27" s="15">
        <f>+(0.6*2+1.1)*1.45</f>
        <v>3.3349999999999995</v>
      </c>
      <c r="U27" s="15">
        <f t="shared" si="40"/>
        <v>1.7205000000000001</v>
      </c>
      <c r="V27" s="15"/>
      <c r="W27" s="15">
        <f>+F27-V27</f>
        <v>5.32</v>
      </c>
      <c r="X27" s="15"/>
      <c r="Y27" s="15"/>
      <c r="Z27" s="15">
        <f t="shared" si="41"/>
        <v>11.029000000000003</v>
      </c>
      <c r="AA27" s="15">
        <f t="shared" si="42"/>
        <v>1.7205000000000001</v>
      </c>
      <c r="AB27" s="15">
        <f>1.1*0.6</f>
        <v>0.66</v>
      </c>
      <c r="AC27" s="15"/>
      <c r="AD27" s="5"/>
    </row>
    <row r="28" spans="1:30" s="67" customFormat="1" ht="12" customHeight="1" x14ac:dyDescent="0.2">
      <c r="A28" s="12" t="s">
        <v>31</v>
      </c>
      <c r="B28" s="13">
        <v>3</v>
      </c>
      <c r="C28" s="13">
        <v>3.6</v>
      </c>
      <c r="D28" s="13">
        <v>2.7</v>
      </c>
      <c r="E28" s="13">
        <f>+B28*C28</f>
        <v>10.8</v>
      </c>
      <c r="F28" s="13">
        <f>+(B28+C28)*2</f>
        <v>13.2</v>
      </c>
      <c r="G28" s="93">
        <f>+F28*D28</f>
        <v>35.64</v>
      </c>
      <c r="H28" s="15">
        <f>+G28</f>
        <v>35.64</v>
      </c>
      <c r="I28" s="15">
        <f>+E28</f>
        <v>10.8</v>
      </c>
      <c r="J28" s="202"/>
      <c r="K28" s="15"/>
      <c r="L28" s="15"/>
      <c r="M28" s="15">
        <f>+E28</f>
        <v>10.8</v>
      </c>
      <c r="N28" s="15"/>
      <c r="O28" s="15">
        <f>+G28-T28</f>
        <v>35.64</v>
      </c>
      <c r="P28" s="15">
        <f t="shared" si="39"/>
        <v>13.2</v>
      </c>
      <c r="Q28" s="15">
        <f>+E28</f>
        <v>10.8</v>
      </c>
      <c r="R28" s="15">
        <v>6</v>
      </c>
      <c r="S28" s="15">
        <v>1</v>
      </c>
      <c r="T28" s="15"/>
      <c r="U28" s="15">
        <f t="shared" si="40"/>
        <v>10.8</v>
      </c>
      <c r="V28" s="15"/>
      <c r="W28" s="15">
        <f>+F28-V28</f>
        <v>13.2</v>
      </c>
      <c r="X28" s="15"/>
      <c r="Y28" s="15"/>
      <c r="Z28" s="15">
        <f t="shared" si="41"/>
        <v>35.64</v>
      </c>
      <c r="AA28" s="15">
        <f t="shared" si="42"/>
        <v>16.8</v>
      </c>
      <c r="AB28" s="15"/>
      <c r="AC28" s="15"/>
      <c r="AD28" s="5"/>
    </row>
    <row r="29" spans="1:30" ht="12" customHeight="1" x14ac:dyDescent="0.2">
      <c r="A29" s="12"/>
      <c r="B29" s="13"/>
      <c r="C29" s="13"/>
      <c r="D29" s="13"/>
      <c r="E29" s="13"/>
      <c r="F29" s="13"/>
      <c r="G29" s="93"/>
      <c r="H29" s="15"/>
      <c r="I29" s="15"/>
      <c r="J29" s="202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5"/>
    </row>
    <row r="30" spans="1:30" s="90" customFormat="1" ht="12" customHeight="1" x14ac:dyDescent="0.2">
      <c r="A30" s="69"/>
      <c r="B30" s="70"/>
      <c r="C30" s="70"/>
      <c r="D30" s="70"/>
      <c r="E30" s="70"/>
      <c r="F30" s="70"/>
      <c r="G30" s="70"/>
      <c r="H30" s="15"/>
      <c r="I30" s="14"/>
      <c r="J30" s="206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5"/>
    </row>
    <row r="31" spans="1:30" ht="12" customHeight="1" x14ac:dyDescent="0.2">
      <c r="A31" s="9" t="s">
        <v>36</v>
      </c>
      <c r="B31" s="10"/>
      <c r="C31" s="10"/>
      <c r="D31" s="10"/>
      <c r="E31" s="10"/>
      <c r="F31" s="10"/>
      <c r="G31" s="10"/>
      <c r="H31" s="96">
        <f>+H32*11+H33*11.2+H34+H35</f>
        <v>823.98</v>
      </c>
      <c r="I31" s="96">
        <f t="shared" ref="I31:AC31" si="48">+I32*11+I33*11.2+I34+I35</f>
        <v>93.8</v>
      </c>
      <c r="J31" s="203">
        <f t="shared" ref="J31" si="49">+J32*11+J33*11.2+J34+J35</f>
        <v>0</v>
      </c>
      <c r="K31" s="96">
        <f t="shared" si="48"/>
        <v>0</v>
      </c>
      <c r="L31" s="96">
        <f t="shared" si="48"/>
        <v>150.416</v>
      </c>
      <c r="M31" s="96">
        <f t="shared" si="48"/>
        <v>93.8</v>
      </c>
      <c r="N31" s="96">
        <f t="shared" si="48"/>
        <v>473.52</v>
      </c>
      <c r="O31" s="96">
        <f t="shared" si="48"/>
        <v>350.46000000000004</v>
      </c>
      <c r="P31" s="96">
        <f t="shared" si="48"/>
        <v>129.80000000000001</v>
      </c>
      <c r="Q31" s="96">
        <f t="shared" si="48"/>
        <v>116.41600000000001</v>
      </c>
      <c r="R31" s="96">
        <f t="shared" si="48"/>
        <v>85.8</v>
      </c>
      <c r="S31" s="96">
        <f t="shared" si="48"/>
        <v>154</v>
      </c>
      <c r="T31" s="96">
        <f t="shared" si="48"/>
        <v>0</v>
      </c>
      <c r="U31" s="96">
        <f t="shared" si="48"/>
        <v>85.8</v>
      </c>
      <c r="V31" s="96">
        <f t="shared" si="48"/>
        <v>129.80000000000001</v>
      </c>
      <c r="W31" s="96">
        <f t="shared" si="48"/>
        <v>0</v>
      </c>
      <c r="X31" s="96">
        <f t="shared" si="48"/>
        <v>0</v>
      </c>
      <c r="Y31" s="96">
        <f t="shared" si="48"/>
        <v>0</v>
      </c>
      <c r="Z31" s="96">
        <f t="shared" si="48"/>
        <v>823.98</v>
      </c>
      <c r="AA31" s="96">
        <f t="shared" si="48"/>
        <v>202.21600000000001</v>
      </c>
      <c r="AB31" s="96">
        <f t="shared" si="48"/>
        <v>2.16</v>
      </c>
      <c r="AC31" s="96">
        <f t="shared" si="48"/>
        <v>0</v>
      </c>
      <c r="AD31" s="5"/>
    </row>
    <row r="32" spans="1:30" ht="12" customHeight="1" x14ac:dyDescent="0.2">
      <c r="A32" s="12" t="s">
        <v>37</v>
      </c>
      <c r="B32" s="13">
        <v>2</v>
      </c>
      <c r="C32" s="13">
        <v>3.9</v>
      </c>
      <c r="D32" s="13">
        <v>2.7</v>
      </c>
      <c r="E32" s="13">
        <f t="shared" ref="E32:E35" si="50">+B32*C32</f>
        <v>7.8</v>
      </c>
      <c r="F32" s="13">
        <f t="shared" ref="F32:F35" si="51">+(B32+C32)*2</f>
        <v>11.8</v>
      </c>
      <c r="G32" s="93">
        <f t="shared" ref="G32:G35" si="52">+F32*D32</f>
        <v>31.860000000000003</v>
      </c>
      <c r="H32" s="15">
        <f t="shared" ref="H32:H35" si="53">+G32</f>
        <v>31.860000000000003</v>
      </c>
      <c r="I32" s="15">
        <f t="shared" ref="I32:J32" si="54">+E32</f>
        <v>7.8</v>
      </c>
      <c r="J32" s="202"/>
      <c r="K32" s="15"/>
      <c r="L32" s="15"/>
      <c r="M32" s="15">
        <f t="shared" ref="M32" si="55">+E32</f>
        <v>7.8</v>
      </c>
      <c r="N32" s="15"/>
      <c r="O32" s="15">
        <f>+G32-T32</f>
        <v>31.860000000000003</v>
      </c>
      <c r="P32" s="15">
        <f>+F32</f>
        <v>11.8</v>
      </c>
      <c r="Q32" s="15"/>
      <c r="R32" s="15">
        <f>+E32</f>
        <v>7.8</v>
      </c>
      <c r="S32" s="15">
        <v>14</v>
      </c>
      <c r="T32" s="15"/>
      <c r="U32" s="15">
        <f>+M32+K32</f>
        <v>7.8</v>
      </c>
      <c r="V32" s="15">
        <f>+F32</f>
        <v>11.8</v>
      </c>
      <c r="W32" s="15"/>
      <c r="X32" s="15"/>
      <c r="Y32" s="15"/>
      <c r="Z32" s="15">
        <f t="shared" ref="Z32:Z35" si="56">+N32+O32</f>
        <v>31.860000000000003</v>
      </c>
      <c r="AA32" s="15">
        <f t="shared" ref="AA32:AA35" si="57">+Q32+R32</f>
        <v>7.8</v>
      </c>
      <c r="AB32" s="15"/>
      <c r="AC32" s="15"/>
      <c r="AD32" s="5"/>
    </row>
    <row r="33" spans="1:30" ht="12" customHeight="1" x14ac:dyDescent="0.2">
      <c r="A33" s="12" t="s">
        <v>38</v>
      </c>
      <c r="B33" s="13">
        <v>4.4000000000000004</v>
      </c>
      <c r="C33" s="13">
        <v>2.2000000000000002</v>
      </c>
      <c r="D33" s="13">
        <v>3</v>
      </c>
      <c r="E33" s="13">
        <f>+B33*C33</f>
        <v>9.6800000000000015</v>
      </c>
      <c r="F33" s="13">
        <f t="shared" si="51"/>
        <v>13.200000000000001</v>
      </c>
      <c r="G33" s="93">
        <f t="shared" si="52"/>
        <v>39.6</v>
      </c>
      <c r="H33" s="15">
        <f t="shared" si="53"/>
        <v>39.6</v>
      </c>
      <c r="I33" s="15"/>
      <c r="J33" s="202"/>
      <c r="K33" s="15"/>
      <c r="L33" s="15">
        <f>+E33+1.25*0.2*15</f>
        <v>13.430000000000001</v>
      </c>
      <c r="M33" s="15"/>
      <c r="N33" s="15">
        <f>+G33</f>
        <v>39.6</v>
      </c>
      <c r="O33" s="15"/>
      <c r="P33" s="15"/>
      <c r="Q33" s="15">
        <f>+E33</f>
        <v>9.6800000000000015</v>
      </c>
      <c r="R33" s="15"/>
      <c r="S33" s="15"/>
      <c r="T33" s="15"/>
      <c r="U33" s="15"/>
      <c r="V33" s="15"/>
      <c r="W33" s="15"/>
      <c r="X33" s="15"/>
      <c r="Y33" s="15"/>
      <c r="Z33" s="15">
        <f t="shared" si="56"/>
        <v>39.6</v>
      </c>
      <c r="AA33" s="15">
        <f t="shared" si="57"/>
        <v>9.6800000000000015</v>
      </c>
      <c r="AB33" s="15"/>
      <c r="AC33" s="15"/>
      <c r="AD33" s="5"/>
    </row>
    <row r="34" spans="1:30" s="72" customFormat="1" ht="12" customHeight="1" x14ac:dyDescent="0.2">
      <c r="A34" s="78" t="s">
        <v>191</v>
      </c>
      <c r="B34" s="13">
        <v>8.36</v>
      </c>
      <c r="C34" s="13">
        <v>7.6</v>
      </c>
      <c r="D34" s="13">
        <v>2.7</v>
      </c>
      <c r="E34" s="13">
        <f>+B34*C34-2*5.5</f>
        <v>52.535999999999994</v>
      </c>
      <c r="F34" s="13">
        <f t="shared" ref="F34" si="58">+(B34+C34)*2</f>
        <v>31.919999999999998</v>
      </c>
      <c r="G34" s="93">
        <f t="shared" ref="G34" si="59">+F34*D34</f>
        <v>86.183999999999997</v>
      </c>
      <c r="H34" s="15"/>
      <c r="I34" s="15"/>
      <c r="J34" s="202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>
        <f t="shared" si="56"/>
        <v>0</v>
      </c>
      <c r="AA34" s="15">
        <f t="shared" ref="AA34" si="60">+Q34+R34</f>
        <v>0</v>
      </c>
      <c r="AB34" s="15">
        <f>1.8*0.6*2</f>
        <v>2.16</v>
      </c>
      <c r="AC34" s="15"/>
      <c r="AD34" s="5"/>
    </row>
    <row r="35" spans="1:30" ht="12" customHeight="1" x14ac:dyDescent="0.2">
      <c r="A35" s="12" t="s">
        <v>39</v>
      </c>
      <c r="B35" s="13">
        <v>4</v>
      </c>
      <c r="C35" s="13">
        <v>2</v>
      </c>
      <c r="D35" s="13">
        <v>2.5</v>
      </c>
      <c r="E35" s="13">
        <f t="shared" si="50"/>
        <v>8</v>
      </c>
      <c r="F35" s="13">
        <f t="shared" si="51"/>
        <v>12</v>
      </c>
      <c r="G35" s="93">
        <f t="shared" si="52"/>
        <v>30</v>
      </c>
      <c r="H35" s="15">
        <f t="shared" si="53"/>
        <v>30</v>
      </c>
      <c r="I35" s="15">
        <f>+E35</f>
        <v>8</v>
      </c>
      <c r="J35" s="202"/>
      <c r="K35" s="15"/>
      <c r="L35" s="15"/>
      <c r="M35" s="15">
        <f>+E35</f>
        <v>8</v>
      </c>
      <c r="N35" s="15">
        <f>+G35</f>
        <v>30</v>
      </c>
      <c r="O35" s="15"/>
      <c r="P35" s="15"/>
      <c r="Q35" s="15">
        <f>+E35</f>
        <v>8</v>
      </c>
      <c r="R35" s="15"/>
      <c r="S35" s="15"/>
      <c r="T35" s="15"/>
      <c r="U35" s="15"/>
      <c r="V35" s="15"/>
      <c r="W35" s="15"/>
      <c r="X35" s="15"/>
      <c r="Y35" s="15"/>
      <c r="Z35" s="15">
        <f t="shared" si="56"/>
        <v>30</v>
      </c>
      <c r="AA35" s="15">
        <f t="shared" si="57"/>
        <v>8</v>
      </c>
      <c r="AB35" s="15"/>
      <c r="AC35" s="15"/>
      <c r="AD35" s="5"/>
    </row>
    <row r="36" spans="1:30" ht="12" customHeight="1" x14ac:dyDescent="0.2">
      <c r="A36" s="12"/>
      <c r="B36" s="13"/>
      <c r="C36" s="13"/>
      <c r="D36" s="13"/>
      <c r="E36" s="13"/>
      <c r="F36" s="13"/>
      <c r="G36" s="93"/>
      <c r="H36" s="15"/>
      <c r="I36" s="15"/>
      <c r="J36" s="202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5"/>
    </row>
    <row r="37" spans="1:30" ht="12" customHeight="1" x14ac:dyDescent="0.2">
      <c r="A37" s="5"/>
      <c r="B37" s="20"/>
      <c r="C37" s="20"/>
      <c r="D37" s="20"/>
      <c r="E37" s="20"/>
      <c r="F37" s="20"/>
      <c r="G37" s="2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2" customHeight="1" x14ac:dyDescent="0.2">
      <c r="A38" s="5"/>
      <c r="B38" s="20"/>
      <c r="C38" s="20"/>
      <c r="D38" s="20"/>
      <c r="E38" s="20"/>
      <c r="F38" s="20"/>
      <c r="G38" s="20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2" customHeight="1" x14ac:dyDescent="0.2">
      <c r="A39" s="5"/>
      <c r="B39" s="20"/>
      <c r="C39" s="20"/>
      <c r="D39" s="20"/>
      <c r="E39" s="20"/>
      <c r="F39" s="20"/>
      <c r="G39" s="2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" customHeight="1" x14ac:dyDescent="0.2">
      <c r="A40" s="5"/>
      <c r="B40" s="20"/>
      <c r="C40" s="20"/>
      <c r="D40" s="20"/>
      <c r="E40" s="20"/>
      <c r="F40" s="20"/>
      <c r="G40" s="20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2" customHeight="1" x14ac:dyDescent="0.2">
      <c r="A41" s="5"/>
      <c r="B41" s="20"/>
      <c r="C41" s="20"/>
      <c r="D41" s="20"/>
      <c r="E41" s="20"/>
      <c r="F41" s="20"/>
      <c r="G41" s="20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2" customHeight="1" x14ac:dyDescent="0.2">
      <c r="A42" s="5"/>
      <c r="B42" s="20"/>
      <c r="C42" s="20"/>
      <c r="D42" s="20"/>
      <c r="E42" s="20"/>
      <c r="F42" s="20"/>
      <c r="G42" s="20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2" customHeight="1" x14ac:dyDescent="0.2">
      <c r="A43" s="5"/>
      <c r="B43" s="20"/>
      <c r="C43" s="20"/>
      <c r="D43" s="20"/>
      <c r="E43" s="20"/>
      <c r="F43" s="20"/>
      <c r="G43" s="20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2" customHeight="1" x14ac:dyDescent="0.2">
      <c r="A44" s="5"/>
      <c r="B44" s="20"/>
      <c r="C44" s="20"/>
      <c r="D44" s="20"/>
      <c r="E44" s="20"/>
      <c r="F44" s="20"/>
      <c r="G44" s="20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2" customHeight="1" x14ac:dyDescent="0.2">
      <c r="A45" s="5"/>
      <c r="B45" s="20"/>
      <c r="C45" s="20"/>
      <c r="D45" s="20"/>
      <c r="E45" s="20"/>
      <c r="F45" s="20"/>
      <c r="G45" s="2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2" customHeight="1" x14ac:dyDescent="0.2">
      <c r="A46" s="5"/>
      <c r="B46" s="20"/>
      <c r="C46" s="20"/>
      <c r="D46" s="20"/>
      <c r="E46" s="20"/>
      <c r="F46" s="20"/>
      <c r="G46" s="20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2" customHeight="1" x14ac:dyDescent="0.2">
      <c r="A47" s="5"/>
      <c r="B47" s="20"/>
      <c r="C47" s="20"/>
      <c r="D47" s="20"/>
      <c r="E47" s="20"/>
      <c r="F47" s="20"/>
      <c r="G47" s="2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2" customHeight="1" x14ac:dyDescent="0.2">
      <c r="A48" s="5"/>
      <c r="B48" s="20"/>
      <c r="C48" s="20"/>
      <c r="D48" s="20"/>
      <c r="E48" s="20"/>
      <c r="F48" s="20"/>
      <c r="G48" s="20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2" customHeight="1" x14ac:dyDescent="0.2">
      <c r="A49" s="5"/>
      <c r="B49" s="20"/>
      <c r="C49" s="20"/>
      <c r="D49" s="20"/>
      <c r="E49" s="20"/>
      <c r="F49" s="20"/>
      <c r="G49" s="20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2" customHeight="1" x14ac:dyDescent="0.2">
      <c r="A50" s="5"/>
      <c r="B50" s="20"/>
      <c r="C50" s="20"/>
      <c r="D50" s="20"/>
      <c r="E50" s="20"/>
      <c r="F50" s="20"/>
      <c r="G50" s="20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2" customHeight="1" x14ac:dyDescent="0.2">
      <c r="A51" s="5"/>
      <c r="B51" s="20"/>
      <c r="C51" s="20"/>
      <c r="D51" s="20"/>
      <c r="E51" s="20"/>
      <c r="F51" s="20"/>
      <c r="G51" s="20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2" customHeight="1" x14ac:dyDescent="0.2">
      <c r="A52" s="5"/>
      <c r="B52" s="20"/>
      <c r="C52" s="20"/>
      <c r="D52" s="20"/>
      <c r="E52" s="20"/>
      <c r="F52" s="20"/>
      <c r="G52" s="20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2" customHeight="1" x14ac:dyDescent="0.2">
      <c r="A53" s="5"/>
      <c r="B53" s="20"/>
      <c r="C53" s="20"/>
      <c r="D53" s="20"/>
      <c r="E53" s="20"/>
      <c r="F53" s="20"/>
      <c r="G53" s="20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2" customHeight="1" x14ac:dyDescent="0.2">
      <c r="A54" s="5"/>
      <c r="B54" s="20"/>
      <c r="C54" s="20"/>
      <c r="D54" s="20"/>
      <c r="E54" s="20"/>
      <c r="F54" s="20"/>
      <c r="G54" s="20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2" customHeight="1" x14ac:dyDescent="0.2">
      <c r="A55" s="5"/>
      <c r="B55" s="20"/>
      <c r="C55" s="20"/>
      <c r="D55" s="20"/>
      <c r="E55" s="20"/>
      <c r="F55" s="20"/>
      <c r="G55" s="20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2" customHeight="1" x14ac:dyDescent="0.2">
      <c r="A56" s="5"/>
      <c r="B56" s="20"/>
      <c r="C56" s="20"/>
      <c r="D56" s="20"/>
      <c r="E56" s="20"/>
      <c r="F56" s="20"/>
      <c r="G56" s="20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2" customHeight="1" x14ac:dyDescent="0.2">
      <c r="A57" s="5"/>
      <c r="B57" s="20"/>
      <c r="C57" s="20"/>
      <c r="D57" s="20"/>
      <c r="E57" s="20"/>
      <c r="F57" s="20"/>
      <c r="G57" s="20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2" customHeight="1" x14ac:dyDescent="0.2">
      <c r="A58" s="5"/>
      <c r="B58" s="20"/>
      <c r="C58" s="20"/>
      <c r="D58" s="20"/>
      <c r="E58" s="20"/>
      <c r="F58" s="20"/>
      <c r="G58" s="2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2" customHeight="1" x14ac:dyDescent="0.2">
      <c r="A59" s="5"/>
      <c r="B59" s="20"/>
      <c r="C59" s="20"/>
      <c r="D59" s="20"/>
      <c r="E59" s="20"/>
      <c r="F59" s="20"/>
      <c r="G59" s="20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2" customHeight="1" x14ac:dyDescent="0.2">
      <c r="A60" s="5"/>
      <c r="B60" s="20"/>
      <c r="C60" s="20"/>
      <c r="D60" s="20"/>
      <c r="E60" s="20"/>
      <c r="F60" s="20"/>
      <c r="G60" s="20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2" customHeight="1" x14ac:dyDescent="0.2">
      <c r="A61" s="5"/>
      <c r="B61" s="20"/>
      <c r="C61" s="20"/>
      <c r="D61" s="20"/>
      <c r="E61" s="20"/>
      <c r="F61" s="20"/>
      <c r="G61" s="20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2" customHeight="1" x14ac:dyDescent="0.2">
      <c r="A62" s="5"/>
      <c r="B62" s="20"/>
      <c r="C62" s="20"/>
      <c r="D62" s="20"/>
      <c r="E62" s="20"/>
      <c r="F62" s="20"/>
      <c r="G62" s="20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2" customHeight="1" x14ac:dyDescent="0.2">
      <c r="A63" s="5"/>
      <c r="B63" s="20"/>
      <c r="C63" s="20"/>
      <c r="D63" s="20"/>
      <c r="E63" s="20"/>
      <c r="F63" s="20"/>
      <c r="G63" s="20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2" customHeight="1" x14ac:dyDescent="0.2">
      <c r="A64" s="5"/>
      <c r="B64" s="20"/>
      <c r="C64" s="20"/>
      <c r="D64" s="20"/>
      <c r="E64" s="20"/>
      <c r="F64" s="20"/>
      <c r="G64" s="20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2" customHeight="1" x14ac:dyDescent="0.2">
      <c r="A65" s="5"/>
      <c r="B65" s="20"/>
      <c r="C65" s="20"/>
      <c r="D65" s="20"/>
      <c r="E65" s="20"/>
      <c r="F65" s="20"/>
      <c r="G65" s="20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2" customHeight="1" x14ac:dyDescent="0.2">
      <c r="A66" s="5"/>
      <c r="B66" s="20"/>
      <c r="C66" s="20"/>
      <c r="D66" s="20"/>
      <c r="E66" s="20"/>
      <c r="F66" s="20"/>
      <c r="G66" s="20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2" customHeight="1" x14ac:dyDescent="0.2">
      <c r="A67" s="5"/>
      <c r="B67" s="20"/>
      <c r="C67" s="20"/>
      <c r="D67" s="20"/>
      <c r="E67" s="20"/>
      <c r="F67" s="20"/>
      <c r="G67" s="2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2" customHeight="1" x14ac:dyDescent="0.2">
      <c r="A68" s="5"/>
      <c r="B68" s="20"/>
      <c r="C68" s="20"/>
      <c r="D68" s="20"/>
      <c r="E68" s="20"/>
      <c r="F68" s="20"/>
      <c r="G68" s="20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2" customHeight="1" x14ac:dyDescent="0.2">
      <c r="A69" s="5"/>
      <c r="B69" s="20"/>
      <c r="C69" s="20"/>
      <c r="D69" s="20"/>
      <c r="E69" s="20"/>
      <c r="F69" s="20"/>
      <c r="G69" s="20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2" customHeight="1" x14ac:dyDescent="0.2">
      <c r="A70" s="5"/>
      <c r="B70" s="20"/>
      <c r="C70" s="20"/>
      <c r="D70" s="20"/>
      <c r="E70" s="20"/>
      <c r="F70" s="20"/>
      <c r="G70" s="20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2" customHeight="1" x14ac:dyDescent="0.2">
      <c r="A71" s="5"/>
      <c r="B71" s="20"/>
      <c r="C71" s="20"/>
      <c r="D71" s="20"/>
      <c r="E71" s="20"/>
      <c r="F71" s="20"/>
      <c r="G71" s="20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2" customHeight="1" x14ac:dyDescent="0.2">
      <c r="A72" s="5"/>
      <c r="B72" s="20"/>
      <c r="C72" s="20"/>
      <c r="D72" s="20"/>
      <c r="E72" s="20"/>
      <c r="F72" s="20"/>
      <c r="G72" s="20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2" customHeight="1" x14ac:dyDescent="0.2">
      <c r="A73" s="5"/>
      <c r="B73" s="20"/>
      <c r="C73" s="20"/>
      <c r="D73" s="20"/>
      <c r="E73" s="20"/>
      <c r="F73" s="20"/>
      <c r="G73" s="20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2" customHeight="1" x14ac:dyDescent="0.2">
      <c r="A74" s="5"/>
      <c r="B74" s="20"/>
      <c r="C74" s="20"/>
      <c r="D74" s="20"/>
      <c r="E74" s="20"/>
      <c r="F74" s="20"/>
      <c r="G74" s="20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2" customHeight="1" x14ac:dyDescent="0.2">
      <c r="A75" s="5"/>
      <c r="B75" s="20"/>
      <c r="C75" s="20"/>
      <c r="D75" s="20"/>
      <c r="E75" s="20"/>
      <c r="F75" s="20"/>
      <c r="G75" s="20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2" customHeight="1" x14ac:dyDescent="0.2">
      <c r="A76" s="5"/>
      <c r="B76" s="20"/>
      <c r="C76" s="20"/>
      <c r="D76" s="20"/>
      <c r="E76" s="20"/>
      <c r="F76" s="20"/>
      <c r="G76" s="20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2" customHeight="1" x14ac:dyDescent="0.2">
      <c r="A77" s="5"/>
      <c r="B77" s="20"/>
      <c r="C77" s="20"/>
      <c r="D77" s="20"/>
      <c r="E77" s="20"/>
      <c r="F77" s="20"/>
      <c r="G77" s="2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2" customHeight="1" x14ac:dyDescent="0.2">
      <c r="A78" s="5"/>
      <c r="B78" s="20"/>
      <c r="C78" s="20"/>
      <c r="D78" s="20"/>
      <c r="E78" s="20"/>
      <c r="F78" s="20"/>
      <c r="G78" s="20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2" customHeight="1" x14ac:dyDescent="0.2">
      <c r="A79" s="5"/>
      <c r="B79" s="20"/>
      <c r="C79" s="20"/>
      <c r="D79" s="20"/>
      <c r="E79" s="20"/>
      <c r="F79" s="20"/>
      <c r="G79" s="20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2" customHeight="1" x14ac:dyDescent="0.2">
      <c r="A80" s="5"/>
      <c r="B80" s="20"/>
      <c r="C80" s="20"/>
      <c r="D80" s="20"/>
      <c r="E80" s="20"/>
      <c r="F80" s="20"/>
      <c r="G80" s="20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2" customHeight="1" x14ac:dyDescent="0.2">
      <c r="A81" s="5"/>
      <c r="B81" s="20"/>
      <c r="C81" s="20"/>
      <c r="D81" s="20"/>
      <c r="E81" s="20"/>
      <c r="F81" s="20"/>
      <c r="G81" s="20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2" customHeight="1" x14ac:dyDescent="0.2">
      <c r="A82" s="5"/>
      <c r="B82" s="20"/>
      <c r="C82" s="20"/>
      <c r="D82" s="20"/>
      <c r="E82" s="20"/>
      <c r="F82" s="20"/>
      <c r="G82" s="2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2" customHeight="1" x14ac:dyDescent="0.2">
      <c r="A83" s="5"/>
      <c r="B83" s="20"/>
      <c r="C83" s="20"/>
      <c r="D83" s="20"/>
      <c r="E83" s="20"/>
      <c r="F83" s="20"/>
      <c r="G83" s="20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2" customHeight="1" x14ac:dyDescent="0.2">
      <c r="A84" s="5"/>
      <c r="B84" s="20"/>
      <c r="C84" s="20"/>
      <c r="D84" s="20"/>
      <c r="E84" s="20"/>
      <c r="F84" s="20"/>
      <c r="G84" s="20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2" customHeight="1" x14ac:dyDescent="0.2">
      <c r="A85" s="5"/>
      <c r="B85" s="20"/>
      <c r="C85" s="20"/>
      <c r="D85" s="20"/>
      <c r="E85" s="20"/>
      <c r="F85" s="20"/>
      <c r="G85" s="20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2" customHeight="1" x14ac:dyDescent="0.2">
      <c r="A86" s="5"/>
      <c r="B86" s="20"/>
      <c r="C86" s="20"/>
      <c r="D86" s="20"/>
      <c r="E86" s="20"/>
      <c r="F86" s="20"/>
      <c r="G86" s="20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2" customHeight="1" x14ac:dyDescent="0.2">
      <c r="A87" s="5"/>
      <c r="B87" s="20"/>
      <c r="C87" s="20"/>
      <c r="D87" s="20"/>
      <c r="E87" s="20"/>
      <c r="F87" s="20"/>
      <c r="G87" s="20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2" customHeight="1" x14ac:dyDescent="0.2">
      <c r="A88" s="5"/>
      <c r="B88" s="20"/>
      <c r="C88" s="20"/>
      <c r="D88" s="20"/>
      <c r="E88" s="20"/>
      <c r="F88" s="20"/>
      <c r="G88" s="2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2" customHeight="1" x14ac:dyDescent="0.2">
      <c r="A89" s="5"/>
      <c r="B89" s="20"/>
      <c r="C89" s="20"/>
      <c r="D89" s="20"/>
      <c r="E89" s="20"/>
      <c r="F89" s="20"/>
      <c r="G89" s="20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2" customHeight="1" x14ac:dyDescent="0.2">
      <c r="A90" s="5"/>
      <c r="B90" s="20"/>
      <c r="C90" s="20"/>
      <c r="D90" s="20"/>
      <c r="E90" s="20"/>
      <c r="F90" s="20"/>
      <c r="G90" s="20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2" customHeight="1" x14ac:dyDescent="0.2">
      <c r="A91" s="5"/>
      <c r="B91" s="20"/>
      <c r="C91" s="20"/>
      <c r="D91" s="20"/>
      <c r="E91" s="20"/>
      <c r="F91" s="20"/>
      <c r="G91" s="20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2" customHeight="1" x14ac:dyDescent="0.2">
      <c r="A92" s="5"/>
      <c r="B92" s="20"/>
      <c r="C92" s="20"/>
      <c r="D92" s="20"/>
      <c r="E92" s="20"/>
      <c r="F92" s="20"/>
      <c r="G92" s="20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2" customHeight="1" x14ac:dyDescent="0.2">
      <c r="A93" s="5"/>
      <c r="B93" s="20"/>
      <c r="C93" s="20"/>
      <c r="D93" s="20"/>
      <c r="E93" s="20"/>
      <c r="F93" s="20"/>
      <c r="G93" s="20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2" customHeight="1" x14ac:dyDescent="0.2">
      <c r="A94" s="5"/>
      <c r="B94" s="20"/>
      <c r="C94" s="20"/>
      <c r="D94" s="20"/>
      <c r="E94" s="20"/>
      <c r="F94" s="20"/>
      <c r="G94" s="20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2" customHeight="1" x14ac:dyDescent="0.2">
      <c r="A95" s="5"/>
      <c r="B95" s="20"/>
      <c r="C95" s="20"/>
      <c r="D95" s="20"/>
      <c r="E95" s="20"/>
      <c r="F95" s="20"/>
      <c r="G95" s="2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2" customHeight="1" x14ac:dyDescent="0.2">
      <c r="A96" s="5"/>
      <c r="B96" s="20"/>
      <c r="C96" s="20"/>
      <c r="D96" s="20"/>
      <c r="E96" s="20"/>
      <c r="F96" s="20"/>
      <c r="G96" s="20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2" customHeight="1" x14ac:dyDescent="0.2">
      <c r="A97" s="5"/>
      <c r="B97" s="20"/>
      <c r="C97" s="20"/>
      <c r="D97" s="20"/>
      <c r="E97" s="20"/>
      <c r="F97" s="20"/>
      <c r="G97" s="2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2" customHeight="1" x14ac:dyDescent="0.2">
      <c r="A98" s="5"/>
      <c r="B98" s="20"/>
      <c r="C98" s="20"/>
      <c r="D98" s="20"/>
      <c r="E98" s="20"/>
      <c r="F98" s="20"/>
      <c r="G98" s="20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2" customHeight="1" x14ac:dyDescent="0.2">
      <c r="A99" s="5"/>
      <c r="B99" s="20"/>
      <c r="C99" s="20"/>
      <c r="D99" s="20"/>
      <c r="E99" s="20"/>
      <c r="F99" s="20"/>
      <c r="G99" s="20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2" customHeight="1" x14ac:dyDescent="0.2">
      <c r="A100" s="5"/>
      <c r="B100" s="20"/>
      <c r="C100" s="20"/>
      <c r="D100" s="20"/>
      <c r="E100" s="20"/>
      <c r="F100" s="20"/>
      <c r="G100" s="20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2" customHeight="1" x14ac:dyDescent="0.2">
      <c r="A101" s="5"/>
      <c r="B101" s="20"/>
      <c r="C101" s="20"/>
      <c r="D101" s="20"/>
      <c r="E101" s="20"/>
      <c r="F101" s="20"/>
      <c r="G101" s="2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2" customHeight="1" x14ac:dyDescent="0.2">
      <c r="A102" s="5"/>
      <c r="B102" s="20"/>
      <c r="C102" s="20"/>
      <c r="D102" s="20"/>
      <c r="E102" s="20"/>
      <c r="F102" s="20"/>
      <c r="G102" s="20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2" customHeight="1" x14ac:dyDescent="0.2">
      <c r="A103" s="5"/>
      <c r="B103" s="20"/>
      <c r="C103" s="20"/>
      <c r="D103" s="20"/>
      <c r="E103" s="20"/>
      <c r="F103" s="20"/>
      <c r="G103" s="20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2" customHeight="1" x14ac:dyDescent="0.2">
      <c r="A104" s="5"/>
      <c r="B104" s="20"/>
      <c r="C104" s="20"/>
      <c r="D104" s="20"/>
      <c r="E104" s="20"/>
      <c r="F104" s="20"/>
      <c r="G104" s="20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2" customHeight="1" x14ac:dyDescent="0.2">
      <c r="A105" s="5"/>
      <c r="B105" s="20"/>
      <c r="C105" s="20"/>
      <c r="D105" s="20"/>
      <c r="E105" s="20"/>
      <c r="F105" s="20"/>
      <c r="G105" s="20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2" customHeight="1" x14ac:dyDescent="0.2">
      <c r="A106" s="5"/>
      <c r="B106" s="20"/>
      <c r="C106" s="20"/>
      <c r="D106" s="20"/>
      <c r="E106" s="20"/>
      <c r="F106" s="20"/>
      <c r="G106" s="20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2" customHeight="1" x14ac:dyDescent="0.2">
      <c r="A107" s="5"/>
      <c r="B107" s="20"/>
      <c r="C107" s="20"/>
      <c r="D107" s="20"/>
      <c r="E107" s="20"/>
      <c r="F107" s="20"/>
      <c r="G107" s="2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2" customHeight="1" x14ac:dyDescent="0.2">
      <c r="A108" s="5"/>
      <c r="B108" s="20"/>
      <c r="C108" s="20"/>
      <c r="D108" s="20"/>
      <c r="E108" s="20"/>
      <c r="F108" s="20"/>
      <c r="G108" s="20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2" customHeight="1" x14ac:dyDescent="0.2">
      <c r="A109" s="5"/>
      <c r="B109" s="20"/>
      <c r="C109" s="20"/>
      <c r="D109" s="20"/>
      <c r="E109" s="20"/>
      <c r="F109" s="20"/>
      <c r="G109" s="20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2" customHeight="1" x14ac:dyDescent="0.2">
      <c r="A110" s="5"/>
      <c r="B110" s="20"/>
      <c r="C110" s="20"/>
      <c r="D110" s="20"/>
      <c r="E110" s="20"/>
      <c r="F110" s="20"/>
      <c r="G110" s="20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2" customHeight="1" x14ac:dyDescent="0.2">
      <c r="A111" s="5"/>
      <c r="B111" s="20"/>
      <c r="C111" s="20"/>
      <c r="D111" s="20"/>
      <c r="E111" s="20"/>
      <c r="F111" s="20"/>
      <c r="G111" s="20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2" customHeight="1" x14ac:dyDescent="0.2">
      <c r="A112" s="5"/>
      <c r="B112" s="20"/>
      <c r="C112" s="20"/>
      <c r="D112" s="20"/>
      <c r="E112" s="20"/>
      <c r="F112" s="20"/>
      <c r="G112" s="20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2" customHeight="1" x14ac:dyDescent="0.2">
      <c r="A113" s="5"/>
      <c r="B113" s="20"/>
      <c r="C113" s="20"/>
      <c r="D113" s="20"/>
      <c r="E113" s="20"/>
      <c r="F113" s="20"/>
      <c r="G113" s="20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2" customHeight="1" x14ac:dyDescent="0.2">
      <c r="A114" s="5"/>
      <c r="B114" s="20"/>
      <c r="C114" s="20"/>
      <c r="D114" s="20"/>
      <c r="E114" s="20"/>
      <c r="F114" s="20"/>
      <c r="G114" s="20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2" customHeight="1" x14ac:dyDescent="0.2">
      <c r="A115" s="5"/>
      <c r="B115" s="20"/>
      <c r="C115" s="20"/>
      <c r="D115" s="20"/>
      <c r="E115" s="20"/>
      <c r="F115" s="20"/>
      <c r="G115" s="20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2" customHeight="1" x14ac:dyDescent="0.2">
      <c r="A116" s="5"/>
      <c r="B116" s="20"/>
      <c r="C116" s="20"/>
      <c r="D116" s="20"/>
      <c r="E116" s="20"/>
      <c r="F116" s="20"/>
      <c r="G116" s="20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2" customHeight="1" x14ac:dyDescent="0.2">
      <c r="A117" s="5"/>
      <c r="B117" s="20"/>
      <c r="C117" s="20"/>
      <c r="D117" s="20"/>
      <c r="E117" s="20"/>
      <c r="F117" s="20"/>
      <c r="G117" s="20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2" customHeight="1" x14ac:dyDescent="0.2">
      <c r="A118" s="5"/>
      <c r="B118" s="20"/>
      <c r="C118" s="20"/>
      <c r="D118" s="20"/>
      <c r="E118" s="20"/>
      <c r="F118" s="20"/>
      <c r="G118" s="20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2" customHeight="1" x14ac:dyDescent="0.2">
      <c r="A119" s="5"/>
      <c r="B119" s="20"/>
      <c r="C119" s="20"/>
      <c r="D119" s="20"/>
      <c r="E119" s="20"/>
      <c r="F119" s="20"/>
      <c r="G119" s="20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2" customHeight="1" x14ac:dyDescent="0.2">
      <c r="A120" s="5"/>
      <c r="B120" s="20"/>
      <c r="C120" s="20"/>
      <c r="D120" s="20"/>
      <c r="E120" s="20"/>
      <c r="F120" s="20"/>
      <c r="G120" s="20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2" customHeight="1" x14ac:dyDescent="0.2">
      <c r="A121" s="5"/>
      <c r="B121" s="20"/>
      <c r="C121" s="20"/>
      <c r="D121" s="20"/>
      <c r="E121" s="20"/>
      <c r="F121" s="20"/>
      <c r="G121" s="20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2" customHeight="1" x14ac:dyDescent="0.2">
      <c r="A122" s="5"/>
      <c r="B122" s="20"/>
      <c r="C122" s="20"/>
      <c r="D122" s="20"/>
      <c r="E122" s="20"/>
      <c r="F122" s="20"/>
      <c r="G122" s="20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2" customHeight="1" x14ac:dyDescent="0.2">
      <c r="A123" s="5"/>
      <c r="B123" s="20"/>
      <c r="C123" s="20"/>
      <c r="D123" s="20"/>
      <c r="E123" s="20"/>
      <c r="F123" s="20"/>
      <c r="G123" s="20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2" customHeight="1" x14ac:dyDescent="0.2">
      <c r="A124" s="5"/>
      <c r="B124" s="20"/>
      <c r="C124" s="20"/>
      <c r="D124" s="20"/>
      <c r="E124" s="20"/>
      <c r="F124" s="20"/>
      <c r="G124" s="20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2" customHeight="1" x14ac:dyDescent="0.2">
      <c r="A125" s="5"/>
      <c r="B125" s="20"/>
      <c r="C125" s="20"/>
      <c r="D125" s="20"/>
      <c r="E125" s="20"/>
      <c r="F125" s="20"/>
      <c r="G125" s="2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2" customHeight="1" x14ac:dyDescent="0.2">
      <c r="A126" s="5"/>
      <c r="B126" s="20"/>
      <c r="C126" s="20"/>
      <c r="D126" s="20"/>
      <c r="E126" s="20"/>
      <c r="F126" s="20"/>
      <c r="G126" s="20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2" customHeight="1" x14ac:dyDescent="0.2">
      <c r="A127" s="5"/>
      <c r="B127" s="20"/>
      <c r="C127" s="20"/>
      <c r="D127" s="20"/>
      <c r="E127" s="20"/>
      <c r="F127" s="20"/>
      <c r="G127" s="20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2" customHeight="1" x14ac:dyDescent="0.2">
      <c r="A128" s="5"/>
      <c r="B128" s="20"/>
      <c r="C128" s="20"/>
      <c r="D128" s="20"/>
      <c r="E128" s="20"/>
      <c r="F128" s="20"/>
      <c r="G128" s="20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2" customHeight="1" x14ac:dyDescent="0.2">
      <c r="A129" s="5"/>
      <c r="B129" s="20"/>
      <c r="C129" s="20"/>
      <c r="D129" s="20"/>
      <c r="E129" s="20"/>
      <c r="F129" s="20"/>
      <c r="G129" s="20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2" customHeight="1" x14ac:dyDescent="0.2">
      <c r="A130" s="5"/>
      <c r="B130" s="20"/>
      <c r="C130" s="20"/>
      <c r="D130" s="20"/>
      <c r="E130" s="20"/>
      <c r="F130" s="20"/>
      <c r="G130" s="20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2" customHeight="1" x14ac:dyDescent="0.2">
      <c r="A131" s="5"/>
      <c r="B131" s="20"/>
      <c r="C131" s="20"/>
      <c r="D131" s="20"/>
      <c r="E131" s="20"/>
      <c r="F131" s="20"/>
      <c r="G131" s="20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2" customHeight="1" x14ac:dyDescent="0.2">
      <c r="A132" s="5"/>
      <c r="B132" s="20"/>
      <c r="C132" s="20"/>
      <c r="D132" s="20"/>
      <c r="E132" s="20"/>
      <c r="F132" s="20"/>
      <c r="G132" s="20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2" customHeight="1" x14ac:dyDescent="0.2">
      <c r="A133" s="5"/>
      <c r="B133" s="20"/>
      <c r="C133" s="20"/>
      <c r="D133" s="20"/>
      <c r="E133" s="20"/>
      <c r="F133" s="20"/>
      <c r="G133" s="20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2" customHeight="1" x14ac:dyDescent="0.2">
      <c r="A134" s="5"/>
      <c r="B134" s="20"/>
      <c r="C134" s="20"/>
      <c r="D134" s="20"/>
      <c r="E134" s="20"/>
      <c r="F134" s="20"/>
      <c r="G134" s="20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2" customHeight="1" x14ac:dyDescent="0.2">
      <c r="A135" s="5"/>
      <c r="B135" s="20"/>
      <c r="C135" s="20"/>
      <c r="D135" s="20"/>
      <c r="E135" s="20"/>
      <c r="F135" s="20"/>
      <c r="G135" s="20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2" customHeight="1" x14ac:dyDescent="0.2">
      <c r="A136" s="5"/>
      <c r="B136" s="20"/>
      <c r="C136" s="20"/>
      <c r="D136" s="20"/>
      <c r="E136" s="20"/>
      <c r="F136" s="20"/>
      <c r="G136" s="20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2" customHeight="1" x14ac:dyDescent="0.2">
      <c r="A137" s="5"/>
      <c r="B137" s="20"/>
      <c r="C137" s="20"/>
      <c r="D137" s="20"/>
      <c r="E137" s="20"/>
      <c r="F137" s="20"/>
      <c r="G137" s="2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2" customHeight="1" x14ac:dyDescent="0.2">
      <c r="A138" s="5"/>
      <c r="B138" s="20"/>
      <c r="C138" s="20"/>
      <c r="D138" s="20"/>
      <c r="E138" s="20"/>
      <c r="F138" s="20"/>
      <c r="G138" s="20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2" customHeight="1" x14ac:dyDescent="0.2">
      <c r="A139" s="5"/>
      <c r="B139" s="20"/>
      <c r="C139" s="20"/>
      <c r="D139" s="20"/>
      <c r="E139" s="20"/>
      <c r="F139" s="20"/>
      <c r="G139" s="20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2" customHeight="1" x14ac:dyDescent="0.2">
      <c r="A140" s="5"/>
      <c r="B140" s="20"/>
      <c r="C140" s="20"/>
      <c r="D140" s="20"/>
      <c r="E140" s="20"/>
      <c r="F140" s="20"/>
      <c r="G140" s="20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2" customHeight="1" x14ac:dyDescent="0.2">
      <c r="A141" s="5"/>
      <c r="B141" s="20"/>
      <c r="C141" s="20"/>
      <c r="D141" s="20"/>
      <c r="E141" s="20"/>
      <c r="F141" s="20"/>
      <c r="G141" s="20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2" customHeight="1" x14ac:dyDescent="0.2">
      <c r="A142" s="5"/>
      <c r="B142" s="20"/>
      <c r="C142" s="20"/>
      <c r="D142" s="20"/>
      <c r="E142" s="20"/>
      <c r="F142" s="20"/>
      <c r="G142" s="20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2" customHeight="1" x14ac:dyDescent="0.2">
      <c r="A143" s="5"/>
      <c r="B143" s="20"/>
      <c r="C143" s="20"/>
      <c r="D143" s="20"/>
      <c r="E143" s="20"/>
      <c r="F143" s="20"/>
      <c r="G143" s="20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2" customHeight="1" x14ac:dyDescent="0.2">
      <c r="A144" s="5"/>
      <c r="B144" s="20"/>
      <c r="C144" s="20"/>
      <c r="D144" s="20"/>
      <c r="E144" s="20"/>
      <c r="F144" s="20"/>
      <c r="G144" s="20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2" customHeight="1" x14ac:dyDescent="0.2">
      <c r="A145" s="5"/>
      <c r="B145" s="20"/>
      <c r="C145" s="20"/>
      <c r="D145" s="20"/>
      <c r="E145" s="20"/>
      <c r="F145" s="20"/>
      <c r="G145" s="20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2" customHeight="1" x14ac:dyDescent="0.2">
      <c r="A146" s="5"/>
      <c r="B146" s="20"/>
      <c r="C146" s="20"/>
      <c r="D146" s="20"/>
      <c r="E146" s="20"/>
      <c r="F146" s="20"/>
      <c r="G146" s="20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2" customHeight="1" x14ac:dyDescent="0.2">
      <c r="A147" s="5"/>
      <c r="B147" s="20"/>
      <c r="C147" s="20"/>
      <c r="D147" s="20"/>
      <c r="E147" s="20"/>
      <c r="F147" s="20"/>
      <c r="G147" s="2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2" customHeight="1" x14ac:dyDescent="0.2">
      <c r="A148" s="5"/>
      <c r="B148" s="20"/>
      <c r="C148" s="20"/>
      <c r="D148" s="20"/>
      <c r="E148" s="20"/>
      <c r="F148" s="20"/>
      <c r="G148" s="20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2" customHeight="1" x14ac:dyDescent="0.2">
      <c r="A149" s="5"/>
      <c r="B149" s="20"/>
      <c r="C149" s="20"/>
      <c r="D149" s="20"/>
      <c r="E149" s="20"/>
      <c r="F149" s="20"/>
      <c r="G149" s="20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2" customHeight="1" x14ac:dyDescent="0.2">
      <c r="A150" s="5"/>
      <c r="B150" s="20"/>
      <c r="C150" s="20"/>
      <c r="D150" s="20"/>
      <c r="E150" s="20"/>
      <c r="F150" s="20"/>
      <c r="G150" s="20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2" customHeight="1" x14ac:dyDescent="0.2">
      <c r="A151" s="5"/>
      <c r="B151" s="20"/>
      <c r="C151" s="20"/>
      <c r="D151" s="20"/>
      <c r="E151" s="20"/>
      <c r="F151" s="20"/>
      <c r="G151" s="20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2" customHeight="1" x14ac:dyDescent="0.2">
      <c r="A152" s="5"/>
      <c r="B152" s="20"/>
      <c r="C152" s="20"/>
      <c r="D152" s="20"/>
      <c r="E152" s="20"/>
      <c r="F152" s="20"/>
      <c r="G152" s="20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2" customHeight="1" x14ac:dyDescent="0.2">
      <c r="A153" s="5"/>
      <c r="B153" s="20"/>
      <c r="C153" s="20"/>
      <c r="D153" s="20"/>
      <c r="E153" s="20"/>
      <c r="F153" s="20"/>
      <c r="G153" s="20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2" customHeight="1" x14ac:dyDescent="0.2">
      <c r="A154" s="5"/>
      <c r="B154" s="20"/>
      <c r="C154" s="20"/>
      <c r="D154" s="20"/>
      <c r="E154" s="20"/>
      <c r="F154" s="20"/>
      <c r="G154" s="20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2" customHeight="1" x14ac:dyDescent="0.2">
      <c r="A155" s="5"/>
      <c r="B155" s="20"/>
      <c r="C155" s="20"/>
      <c r="D155" s="20"/>
      <c r="E155" s="20"/>
      <c r="F155" s="20"/>
      <c r="G155" s="20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2" customHeight="1" x14ac:dyDescent="0.2">
      <c r="A156" s="5"/>
      <c r="B156" s="20"/>
      <c r="C156" s="20"/>
      <c r="D156" s="20"/>
      <c r="E156" s="20"/>
      <c r="F156" s="20"/>
      <c r="G156" s="20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2" customHeight="1" x14ac:dyDescent="0.2">
      <c r="A157" s="5"/>
      <c r="B157" s="20"/>
      <c r="C157" s="20"/>
      <c r="D157" s="20"/>
      <c r="E157" s="20"/>
      <c r="F157" s="20"/>
      <c r="G157" s="2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2" customHeight="1" x14ac:dyDescent="0.2">
      <c r="A158" s="5"/>
      <c r="B158" s="20"/>
      <c r="C158" s="20"/>
      <c r="D158" s="20"/>
      <c r="E158" s="20"/>
      <c r="F158" s="20"/>
      <c r="G158" s="2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2" customHeight="1" x14ac:dyDescent="0.2">
      <c r="A159" s="5"/>
      <c r="B159" s="20"/>
      <c r="C159" s="20"/>
      <c r="D159" s="20"/>
      <c r="E159" s="20"/>
      <c r="F159" s="20"/>
      <c r="G159" s="2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2" customHeight="1" x14ac:dyDescent="0.2">
      <c r="A160" s="5"/>
      <c r="B160" s="20"/>
      <c r="C160" s="20"/>
      <c r="D160" s="20"/>
      <c r="E160" s="20"/>
      <c r="F160" s="20"/>
      <c r="G160" s="2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2" customHeight="1" x14ac:dyDescent="0.2">
      <c r="A161" s="5"/>
      <c r="B161" s="20"/>
      <c r="C161" s="20"/>
      <c r="D161" s="20"/>
      <c r="E161" s="20"/>
      <c r="F161" s="20"/>
      <c r="G161" s="2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2" customHeight="1" x14ac:dyDescent="0.2">
      <c r="A162" s="5"/>
      <c r="B162" s="20"/>
      <c r="C162" s="20"/>
      <c r="D162" s="20"/>
      <c r="E162" s="20"/>
      <c r="F162" s="20"/>
      <c r="G162" s="2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2" customHeight="1" x14ac:dyDescent="0.2">
      <c r="A163" s="5"/>
      <c r="B163" s="20"/>
      <c r="C163" s="20"/>
      <c r="D163" s="20"/>
      <c r="E163" s="20"/>
      <c r="F163" s="20"/>
      <c r="G163" s="2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2" customHeight="1" x14ac:dyDescent="0.2">
      <c r="A164" s="5"/>
      <c r="B164" s="20"/>
      <c r="C164" s="20"/>
      <c r="D164" s="20"/>
      <c r="E164" s="20"/>
      <c r="F164" s="20"/>
      <c r="G164" s="2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2" customHeight="1" x14ac:dyDescent="0.2">
      <c r="A165" s="5"/>
      <c r="B165" s="20"/>
      <c r="C165" s="20"/>
      <c r="D165" s="20"/>
      <c r="E165" s="20"/>
      <c r="F165" s="20"/>
      <c r="G165" s="2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2" customHeight="1" x14ac:dyDescent="0.2">
      <c r="A166" s="5"/>
      <c r="B166" s="20"/>
      <c r="C166" s="20"/>
      <c r="D166" s="20"/>
      <c r="E166" s="20"/>
      <c r="F166" s="20"/>
      <c r="G166" s="2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2" customHeight="1" x14ac:dyDescent="0.2">
      <c r="A167" s="5"/>
      <c r="B167" s="20"/>
      <c r="C167" s="20"/>
      <c r="D167" s="20"/>
      <c r="E167" s="20"/>
      <c r="F167" s="20"/>
      <c r="G167" s="2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2" customHeight="1" x14ac:dyDescent="0.2">
      <c r="A168" s="5"/>
      <c r="B168" s="20"/>
      <c r="C168" s="20"/>
      <c r="D168" s="20"/>
      <c r="E168" s="20"/>
      <c r="F168" s="20"/>
      <c r="G168" s="2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2" customHeight="1" x14ac:dyDescent="0.2">
      <c r="A169" s="5"/>
      <c r="B169" s="20"/>
      <c r="C169" s="20"/>
      <c r="D169" s="20"/>
      <c r="E169" s="20"/>
      <c r="F169" s="20"/>
      <c r="G169" s="2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2" customHeight="1" x14ac:dyDescent="0.2">
      <c r="A170" s="5"/>
      <c r="B170" s="20"/>
      <c r="C170" s="20"/>
      <c r="D170" s="20"/>
      <c r="E170" s="20"/>
      <c r="F170" s="20"/>
      <c r="G170" s="2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2" customHeight="1" x14ac:dyDescent="0.2">
      <c r="A171" s="5"/>
      <c r="B171" s="20"/>
      <c r="C171" s="20"/>
      <c r="D171" s="20"/>
      <c r="E171" s="20"/>
      <c r="F171" s="20"/>
      <c r="G171" s="2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2" customHeight="1" x14ac:dyDescent="0.2">
      <c r="A172" s="5"/>
      <c r="B172" s="20"/>
      <c r="C172" s="20"/>
      <c r="D172" s="20"/>
      <c r="E172" s="20"/>
      <c r="F172" s="20"/>
      <c r="G172" s="2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2" customHeight="1" x14ac:dyDescent="0.2">
      <c r="A173" s="5"/>
      <c r="B173" s="20"/>
      <c r="C173" s="20"/>
      <c r="D173" s="20"/>
      <c r="E173" s="20"/>
      <c r="F173" s="20"/>
      <c r="G173" s="2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2" customHeight="1" x14ac:dyDescent="0.2">
      <c r="A174" s="5"/>
      <c r="B174" s="20"/>
      <c r="C174" s="20"/>
      <c r="D174" s="20"/>
      <c r="E174" s="20"/>
      <c r="F174" s="20"/>
      <c r="G174" s="2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2" customHeight="1" x14ac:dyDescent="0.2">
      <c r="A175" s="5"/>
      <c r="B175" s="20"/>
      <c r="C175" s="20"/>
      <c r="D175" s="20"/>
      <c r="E175" s="20"/>
      <c r="F175" s="20"/>
      <c r="G175" s="2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2" customHeight="1" x14ac:dyDescent="0.2">
      <c r="A176" s="5"/>
      <c r="B176" s="20"/>
      <c r="C176" s="20"/>
      <c r="D176" s="20"/>
      <c r="E176" s="20"/>
      <c r="F176" s="20"/>
      <c r="G176" s="2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2" customHeight="1" x14ac:dyDescent="0.2">
      <c r="A177" s="5"/>
      <c r="B177" s="20"/>
      <c r="C177" s="20"/>
      <c r="D177" s="20"/>
      <c r="E177" s="20"/>
      <c r="F177" s="20"/>
      <c r="G177" s="2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2" customHeight="1" x14ac:dyDescent="0.2">
      <c r="A178" s="5"/>
      <c r="B178" s="20"/>
      <c r="C178" s="20"/>
      <c r="D178" s="20"/>
      <c r="E178" s="20"/>
      <c r="F178" s="20"/>
      <c r="G178" s="2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2" customHeight="1" x14ac:dyDescent="0.2">
      <c r="A179" s="5"/>
      <c r="B179" s="20"/>
      <c r="C179" s="20"/>
      <c r="D179" s="20"/>
      <c r="E179" s="20"/>
      <c r="F179" s="20"/>
      <c r="G179" s="2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2" customHeight="1" x14ac:dyDescent="0.2">
      <c r="A180" s="5"/>
      <c r="B180" s="20"/>
      <c r="C180" s="20"/>
      <c r="D180" s="20"/>
      <c r="E180" s="20"/>
      <c r="F180" s="20"/>
      <c r="G180" s="2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2" customHeight="1" x14ac:dyDescent="0.2">
      <c r="A181" s="5"/>
      <c r="B181" s="20"/>
      <c r="C181" s="20"/>
      <c r="D181" s="20"/>
      <c r="E181" s="20"/>
      <c r="F181" s="20"/>
      <c r="G181" s="2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2" customHeight="1" x14ac:dyDescent="0.2">
      <c r="A182" s="5"/>
      <c r="B182" s="20"/>
      <c r="C182" s="20"/>
      <c r="D182" s="20"/>
      <c r="E182" s="20"/>
      <c r="F182" s="20"/>
      <c r="G182" s="2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2" customHeight="1" x14ac:dyDescent="0.2">
      <c r="A183" s="5"/>
      <c r="B183" s="20"/>
      <c r="C183" s="20"/>
      <c r="D183" s="20"/>
      <c r="E183" s="20"/>
      <c r="F183" s="20"/>
      <c r="G183" s="2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2" customHeight="1" x14ac:dyDescent="0.2">
      <c r="A184" s="5"/>
      <c r="B184" s="20"/>
      <c r="C184" s="20"/>
      <c r="D184" s="20"/>
      <c r="E184" s="20"/>
      <c r="F184" s="20"/>
      <c r="G184" s="2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2" customHeight="1" x14ac:dyDescent="0.2">
      <c r="A185" s="5"/>
      <c r="B185" s="20"/>
      <c r="C185" s="20"/>
      <c r="D185" s="20"/>
      <c r="E185" s="20"/>
      <c r="F185" s="20"/>
      <c r="G185" s="2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2" customHeight="1" x14ac:dyDescent="0.2">
      <c r="A186" s="5"/>
      <c r="B186" s="20"/>
      <c r="C186" s="20"/>
      <c r="D186" s="20"/>
      <c r="E186" s="20"/>
      <c r="F186" s="20"/>
      <c r="G186" s="2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2" customHeight="1" x14ac:dyDescent="0.2">
      <c r="A187" s="5"/>
      <c r="B187" s="20"/>
      <c r="C187" s="20"/>
      <c r="D187" s="20"/>
      <c r="E187" s="20"/>
      <c r="F187" s="20"/>
      <c r="G187" s="2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2" customHeight="1" x14ac:dyDescent="0.2">
      <c r="A188" s="5"/>
      <c r="B188" s="20"/>
      <c r="C188" s="20"/>
      <c r="D188" s="20"/>
      <c r="E188" s="20"/>
      <c r="F188" s="20"/>
      <c r="G188" s="2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2" customHeight="1" x14ac:dyDescent="0.2">
      <c r="A189" s="5"/>
      <c r="B189" s="20"/>
      <c r="C189" s="20"/>
      <c r="D189" s="20"/>
      <c r="E189" s="20"/>
      <c r="F189" s="20"/>
      <c r="G189" s="2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2" customHeight="1" x14ac:dyDescent="0.2">
      <c r="A190" s="5"/>
      <c r="B190" s="20"/>
      <c r="C190" s="20"/>
      <c r="D190" s="20"/>
      <c r="E190" s="20"/>
      <c r="F190" s="20"/>
      <c r="G190" s="2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2" customHeight="1" x14ac:dyDescent="0.2">
      <c r="A191" s="5"/>
      <c r="B191" s="20"/>
      <c r="C191" s="20"/>
      <c r="D191" s="20"/>
      <c r="E191" s="20"/>
      <c r="F191" s="20"/>
      <c r="G191" s="2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2" customHeight="1" x14ac:dyDescent="0.2">
      <c r="A192" s="5"/>
      <c r="B192" s="20"/>
      <c r="C192" s="20"/>
      <c r="D192" s="20"/>
      <c r="E192" s="20"/>
      <c r="F192" s="20"/>
      <c r="G192" s="2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2" customHeight="1" x14ac:dyDescent="0.2">
      <c r="A193" s="5"/>
      <c r="B193" s="20"/>
      <c r="C193" s="20"/>
      <c r="D193" s="20"/>
      <c r="E193" s="20"/>
      <c r="F193" s="20"/>
      <c r="G193" s="2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2" customHeight="1" x14ac:dyDescent="0.2">
      <c r="A194" s="5"/>
      <c r="B194" s="20"/>
      <c r="C194" s="20"/>
      <c r="D194" s="20"/>
      <c r="E194" s="20"/>
      <c r="F194" s="20"/>
      <c r="G194" s="2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2" customHeight="1" x14ac:dyDescent="0.2">
      <c r="A195" s="5"/>
      <c r="B195" s="20"/>
      <c r="C195" s="20"/>
      <c r="D195" s="20"/>
      <c r="E195" s="20"/>
      <c r="F195" s="20"/>
      <c r="G195" s="2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2" customHeight="1" x14ac:dyDescent="0.2">
      <c r="A196" s="5"/>
      <c r="B196" s="20"/>
      <c r="C196" s="20"/>
      <c r="D196" s="20"/>
      <c r="E196" s="20"/>
      <c r="F196" s="20"/>
      <c r="G196" s="2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2" customHeight="1" x14ac:dyDescent="0.2">
      <c r="A197" s="5"/>
      <c r="B197" s="20"/>
      <c r="C197" s="20"/>
      <c r="D197" s="20"/>
      <c r="E197" s="20"/>
      <c r="F197" s="20"/>
      <c r="G197" s="2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2" customHeight="1" x14ac:dyDescent="0.2">
      <c r="A198" s="5"/>
      <c r="B198" s="20"/>
      <c r="C198" s="20"/>
      <c r="D198" s="20"/>
      <c r="E198" s="20"/>
      <c r="F198" s="20"/>
      <c r="G198" s="2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2" customHeight="1" x14ac:dyDescent="0.2">
      <c r="A199" s="5"/>
      <c r="B199" s="20"/>
      <c r="C199" s="20"/>
      <c r="D199" s="20"/>
      <c r="E199" s="20"/>
      <c r="F199" s="20"/>
      <c r="G199" s="2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2" customHeight="1" x14ac:dyDescent="0.2">
      <c r="A200" s="5"/>
      <c r="B200" s="20"/>
      <c r="C200" s="20"/>
      <c r="D200" s="20"/>
      <c r="E200" s="20"/>
      <c r="F200" s="20"/>
      <c r="G200" s="2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2" customHeight="1" x14ac:dyDescent="0.2">
      <c r="A201" s="5"/>
      <c r="B201" s="20"/>
      <c r="C201" s="20"/>
      <c r="D201" s="20"/>
      <c r="E201" s="20"/>
      <c r="F201" s="20"/>
      <c r="G201" s="20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2" customHeight="1" x14ac:dyDescent="0.2">
      <c r="A202" s="5"/>
      <c r="B202" s="20"/>
      <c r="C202" s="20"/>
      <c r="D202" s="20"/>
      <c r="E202" s="20"/>
      <c r="F202" s="20"/>
      <c r="G202" s="2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2" customHeight="1" x14ac:dyDescent="0.2">
      <c r="A203" s="5"/>
      <c r="B203" s="20"/>
      <c r="C203" s="20"/>
      <c r="D203" s="20"/>
      <c r="E203" s="20"/>
      <c r="F203" s="20"/>
      <c r="G203" s="2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2" customHeight="1" x14ac:dyDescent="0.2">
      <c r="A204" s="5"/>
      <c r="B204" s="20"/>
      <c r="C204" s="20"/>
      <c r="D204" s="20"/>
      <c r="E204" s="20"/>
      <c r="F204" s="20"/>
      <c r="G204" s="2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2" customHeight="1" x14ac:dyDescent="0.2">
      <c r="A205" s="5"/>
      <c r="B205" s="20"/>
      <c r="C205" s="20"/>
      <c r="D205" s="20"/>
      <c r="E205" s="20"/>
      <c r="F205" s="20"/>
      <c r="G205" s="2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2" customHeight="1" x14ac:dyDescent="0.2">
      <c r="A206" s="5"/>
      <c r="B206" s="20"/>
      <c r="C206" s="20"/>
      <c r="D206" s="20"/>
      <c r="E206" s="20"/>
      <c r="F206" s="20"/>
      <c r="G206" s="2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2" customHeight="1" x14ac:dyDescent="0.2">
      <c r="A207" s="5"/>
      <c r="B207" s="20"/>
      <c r="C207" s="20"/>
      <c r="D207" s="20"/>
      <c r="E207" s="20"/>
      <c r="F207" s="20"/>
      <c r="G207" s="2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2" customHeight="1" x14ac:dyDescent="0.2">
      <c r="A208" s="5"/>
      <c r="B208" s="20"/>
      <c r="C208" s="20"/>
      <c r="D208" s="20"/>
      <c r="E208" s="20"/>
      <c r="F208" s="20"/>
      <c r="G208" s="2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2" customHeight="1" x14ac:dyDescent="0.2">
      <c r="A209" s="5"/>
      <c r="B209" s="20"/>
      <c r="C209" s="20"/>
      <c r="D209" s="20"/>
      <c r="E209" s="20"/>
      <c r="F209" s="20"/>
      <c r="G209" s="2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2" customHeight="1" x14ac:dyDescent="0.2">
      <c r="A210" s="5"/>
      <c r="B210" s="20"/>
      <c r="C210" s="20"/>
      <c r="D210" s="20"/>
      <c r="E210" s="20"/>
      <c r="F210" s="20"/>
      <c r="G210" s="2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2" customHeight="1" x14ac:dyDescent="0.2">
      <c r="A211" s="5"/>
      <c r="B211" s="20"/>
      <c r="C211" s="20"/>
      <c r="D211" s="20"/>
      <c r="E211" s="20"/>
      <c r="F211" s="20"/>
      <c r="G211" s="2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2" customHeight="1" x14ac:dyDescent="0.2">
      <c r="A212" s="5"/>
      <c r="B212" s="20"/>
      <c r="C212" s="20"/>
      <c r="D212" s="20"/>
      <c r="E212" s="20"/>
      <c r="F212" s="20"/>
      <c r="G212" s="20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2" customHeight="1" x14ac:dyDescent="0.2">
      <c r="A213" s="5"/>
      <c r="B213" s="20"/>
      <c r="C213" s="20"/>
      <c r="D213" s="20"/>
      <c r="E213" s="20"/>
      <c r="F213" s="20"/>
      <c r="G213" s="2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2" customHeight="1" x14ac:dyDescent="0.2">
      <c r="A214" s="5"/>
      <c r="B214" s="20"/>
      <c r="C214" s="20"/>
      <c r="D214" s="20"/>
      <c r="E214" s="20"/>
      <c r="F214" s="20"/>
      <c r="G214" s="2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2" customHeight="1" x14ac:dyDescent="0.2">
      <c r="A215" s="5"/>
      <c r="B215" s="20"/>
      <c r="C215" s="20"/>
      <c r="D215" s="20"/>
      <c r="E215" s="20"/>
      <c r="F215" s="20"/>
      <c r="G215" s="2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2" customHeight="1" x14ac:dyDescent="0.2">
      <c r="A216" s="5"/>
      <c r="B216" s="20"/>
      <c r="C216" s="20"/>
      <c r="D216" s="20"/>
      <c r="E216" s="20"/>
      <c r="F216" s="20"/>
      <c r="G216" s="2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2" customHeight="1" x14ac:dyDescent="0.2">
      <c r="A217" s="5"/>
      <c r="B217" s="20"/>
      <c r="C217" s="20"/>
      <c r="D217" s="20"/>
      <c r="E217" s="20"/>
      <c r="F217" s="20"/>
      <c r="G217" s="2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2" customHeight="1" x14ac:dyDescent="0.2">
      <c r="A218" s="5"/>
      <c r="B218" s="20"/>
      <c r="C218" s="20"/>
      <c r="D218" s="20"/>
      <c r="E218" s="20"/>
      <c r="F218" s="20"/>
      <c r="G218" s="2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2" customHeight="1" x14ac:dyDescent="0.2">
      <c r="A219" s="5"/>
      <c r="B219" s="20"/>
      <c r="C219" s="20"/>
      <c r="D219" s="20"/>
      <c r="E219" s="20"/>
      <c r="F219" s="20"/>
      <c r="G219" s="2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2" customHeight="1" x14ac:dyDescent="0.2">
      <c r="A220" s="5"/>
      <c r="B220" s="20"/>
      <c r="C220" s="20"/>
      <c r="D220" s="20"/>
      <c r="E220" s="20"/>
      <c r="F220" s="20"/>
      <c r="G220" s="2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2" customHeight="1" x14ac:dyDescent="0.2">
      <c r="A221" s="5"/>
      <c r="B221" s="20"/>
      <c r="C221" s="20"/>
      <c r="D221" s="20"/>
      <c r="E221" s="20"/>
      <c r="F221" s="20"/>
      <c r="G221" s="2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2" customHeight="1" x14ac:dyDescent="0.2">
      <c r="A222" s="5"/>
      <c r="B222" s="20"/>
      <c r="C222" s="20"/>
      <c r="D222" s="20"/>
      <c r="E222" s="20"/>
      <c r="F222" s="20"/>
      <c r="G222" s="2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2" customHeight="1" x14ac:dyDescent="0.2">
      <c r="A223" s="5"/>
      <c r="B223" s="20"/>
      <c r="C223" s="20"/>
      <c r="D223" s="20"/>
      <c r="E223" s="20"/>
      <c r="F223" s="20"/>
      <c r="G223" s="2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2" customHeight="1" x14ac:dyDescent="0.2">
      <c r="A224" s="5"/>
      <c r="B224" s="20"/>
      <c r="C224" s="20"/>
      <c r="D224" s="20"/>
      <c r="E224" s="20"/>
      <c r="F224" s="20"/>
      <c r="G224" s="2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2" customHeight="1" x14ac:dyDescent="0.2">
      <c r="A225" s="5"/>
      <c r="B225" s="20"/>
      <c r="C225" s="20"/>
      <c r="D225" s="20"/>
      <c r="E225" s="20"/>
      <c r="F225" s="20"/>
      <c r="G225" s="2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2" customHeight="1" x14ac:dyDescent="0.2">
      <c r="A226" s="5"/>
      <c r="B226" s="20"/>
      <c r="C226" s="20"/>
      <c r="D226" s="20"/>
      <c r="E226" s="20"/>
      <c r="F226" s="20"/>
      <c r="G226" s="2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2" customHeight="1" x14ac:dyDescent="0.2">
      <c r="A227" s="5"/>
      <c r="B227" s="20"/>
      <c r="C227" s="20"/>
      <c r="D227" s="20"/>
      <c r="E227" s="20"/>
      <c r="F227" s="20"/>
      <c r="G227" s="2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2" customHeight="1" x14ac:dyDescent="0.2">
      <c r="A228" s="5"/>
      <c r="B228" s="20"/>
      <c r="C228" s="20"/>
      <c r="D228" s="20"/>
      <c r="E228" s="20"/>
      <c r="F228" s="20"/>
      <c r="G228" s="2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2" customHeight="1" x14ac:dyDescent="0.2">
      <c r="A229" s="5"/>
      <c r="B229" s="20"/>
      <c r="C229" s="20"/>
      <c r="D229" s="20"/>
      <c r="E229" s="20"/>
      <c r="F229" s="20"/>
      <c r="G229" s="20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2" customHeight="1" x14ac:dyDescent="0.2">
      <c r="A230" s="5"/>
      <c r="B230" s="20"/>
      <c r="C230" s="20"/>
      <c r="D230" s="20"/>
      <c r="E230" s="20"/>
      <c r="F230" s="20"/>
      <c r="G230" s="2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2" customHeight="1" x14ac:dyDescent="0.2">
      <c r="A231" s="5"/>
      <c r="B231" s="20"/>
      <c r="C231" s="20"/>
      <c r="D231" s="20"/>
      <c r="E231" s="20"/>
      <c r="F231" s="20"/>
      <c r="G231" s="2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2" customHeight="1" x14ac:dyDescent="0.2">
      <c r="A232" s="5"/>
      <c r="B232" s="20"/>
      <c r="C232" s="20"/>
      <c r="D232" s="20"/>
      <c r="E232" s="20"/>
      <c r="F232" s="20"/>
      <c r="G232" s="2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2" customHeight="1" x14ac:dyDescent="0.2">
      <c r="A233" s="5"/>
      <c r="B233" s="20"/>
      <c r="C233" s="20"/>
      <c r="D233" s="20"/>
      <c r="E233" s="20"/>
      <c r="F233" s="20"/>
      <c r="G233" s="2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2" customHeight="1" x14ac:dyDescent="0.2">
      <c r="A234" s="5"/>
      <c r="B234" s="20"/>
      <c r="C234" s="20"/>
      <c r="D234" s="20"/>
      <c r="E234" s="20"/>
      <c r="F234" s="20"/>
      <c r="G234" s="2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2" customHeight="1" x14ac:dyDescent="0.2">
      <c r="A235" s="5"/>
      <c r="B235" s="20"/>
      <c r="C235" s="20"/>
      <c r="D235" s="20"/>
      <c r="E235" s="20"/>
      <c r="F235" s="20"/>
      <c r="G235" s="2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2" customHeight="1" x14ac:dyDescent="0.2">
      <c r="A236" s="5"/>
      <c r="B236" s="20"/>
      <c r="C236" s="20"/>
      <c r="D236" s="20"/>
      <c r="E236" s="20"/>
      <c r="F236" s="20"/>
      <c r="G236" s="20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2" customHeight="1" x14ac:dyDescent="0.2">
      <c r="A237" s="5"/>
      <c r="B237" s="20"/>
      <c r="C237" s="20"/>
      <c r="D237" s="20"/>
      <c r="E237" s="20"/>
      <c r="F237" s="20"/>
      <c r="G237" s="20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2" customHeight="1" x14ac:dyDescent="0.2">
      <c r="A238" s="5"/>
      <c r="B238" s="20"/>
      <c r="C238" s="20"/>
      <c r="D238" s="20"/>
      <c r="E238" s="20"/>
      <c r="F238" s="20"/>
      <c r="G238" s="2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2" customHeight="1" x14ac:dyDescent="0.2">
      <c r="A239" s="5"/>
      <c r="B239" s="20"/>
      <c r="C239" s="20"/>
      <c r="D239" s="20"/>
      <c r="E239" s="20"/>
      <c r="F239" s="20"/>
      <c r="G239" s="2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2" customHeight="1" x14ac:dyDescent="0.2">
      <c r="A240" s="5"/>
      <c r="B240" s="20"/>
      <c r="C240" s="20"/>
      <c r="D240" s="20"/>
      <c r="E240" s="20"/>
      <c r="F240" s="20"/>
      <c r="G240" s="20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2" customHeight="1" x14ac:dyDescent="0.2">
      <c r="A241" s="5"/>
      <c r="B241" s="20"/>
      <c r="C241" s="20"/>
      <c r="D241" s="20"/>
      <c r="E241" s="20"/>
      <c r="F241" s="20"/>
      <c r="G241" s="20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2" customHeight="1" x14ac:dyDescent="0.2">
      <c r="A242" s="5"/>
      <c r="B242" s="20"/>
      <c r="C242" s="20"/>
      <c r="D242" s="20"/>
      <c r="E242" s="20"/>
      <c r="F242" s="20"/>
      <c r="G242" s="20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2" customHeight="1" x14ac:dyDescent="0.2">
      <c r="A243" s="5"/>
      <c r="B243" s="20"/>
      <c r="C243" s="20"/>
      <c r="D243" s="20"/>
      <c r="E243" s="20"/>
      <c r="F243" s="20"/>
      <c r="G243" s="20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2" customHeight="1" x14ac:dyDescent="0.2">
      <c r="A244" s="5"/>
      <c r="B244" s="20"/>
      <c r="C244" s="20"/>
      <c r="D244" s="20"/>
      <c r="E244" s="20"/>
      <c r="F244" s="20"/>
      <c r="G244" s="20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2" customHeight="1" x14ac:dyDescent="0.2">
      <c r="A245" s="5"/>
      <c r="B245" s="20"/>
      <c r="C245" s="20"/>
      <c r="D245" s="20"/>
      <c r="E245" s="20"/>
      <c r="F245" s="20"/>
      <c r="G245" s="2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2" customHeight="1" x14ac:dyDescent="0.2">
      <c r="A246" s="5"/>
      <c r="B246" s="20"/>
      <c r="C246" s="20"/>
      <c r="D246" s="20"/>
      <c r="E246" s="20"/>
      <c r="F246" s="20"/>
      <c r="G246" s="20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2" customHeight="1" x14ac:dyDescent="0.2">
      <c r="A247" s="5"/>
      <c r="B247" s="20"/>
      <c r="C247" s="20"/>
      <c r="D247" s="20"/>
      <c r="E247" s="20"/>
      <c r="F247" s="20"/>
      <c r="G247" s="20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2" customHeight="1" x14ac:dyDescent="0.2">
      <c r="A248" s="5"/>
      <c r="B248" s="20"/>
      <c r="C248" s="20"/>
      <c r="D248" s="20"/>
      <c r="E248" s="20"/>
      <c r="F248" s="20"/>
      <c r="G248" s="2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2" customHeight="1" x14ac:dyDescent="0.2">
      <c r="A249" s="5"/>
      <c r="B249" s="20"/>
      <c r="C249" s="20"/>
      <c r="D249" s="20"/>
      <c r="E249" s="20"/>
      <c r="F249" s="20"/>
      <c r="G249" s="20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2" customHeight="1" x14ac:dyDescent="0.2">
      <c r="A250" s="5"/>
      <c r="B250" s="20"/>
      <c r="C250" s="20"/>
      <c r="D250" s="20"/>
      <c r="E250" s="20"/>
      <c r="F250" s="20"/>
      <c r="G250" s="20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2" customHeight="1" x14ac:dyDescent="0.2">
      <c r="A251" s="5"/>
      <c r="B251" s="20"/>
      <c r="C251" s="20"/>
      <c r="D251" s="20"/>
      <c r="E251" s="20"/>
      <c r="F251" s="20"/>
      <c r="G251" s="2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2" customHeight="1" x14ac:dyDescent="0.2">
      <c r="A252" s="5"/>
      <c r="B252" s="20"/>
      <c r="C252" s="20"/>
      <c r="D252" s="20"/>
      <c r="E252" s="20"/>
      <c r="F252" s="20"/>
      <c r="G252" s="20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2" customHeight="1" x14ac:dyDescent="0.2">
      <c r="A253" s="5"/>
      <c r="B253" s="20"/>
      <c r="C253" s="20"/>
      <c r="D253" s="20"/>
      <c r="E253" s="20"/>
      <c r="F253" s="20"/>
      <c r="G253" s="2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2" customHeight="1" x14ac:dyDescent="0.2">
      <c r="A254" s="5"/>
      <c r="B254" s="20"/>
      <c r="C254" s="20"/>
      <c r="D254" s="20"/>
      <c r="E254" s="20"/>
      <c r="F254" s="20"/>
      <c r="G254" s="20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2" customHeight="1" x14ac:dyDescent="0.2">
      <c r="A255" s="5"/>
      <c r="B255" s="20"/>
      <c r="C255" s="20"/>
      <c r="D255" s="20"/>
      <c r="E255" s="20"/>
      <c r="F255" s="20"/>
      <c r="G255" s="20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2" customHeight="1" x14ac:dyDescent="0.2">
      <c r="A256" s="5"/>
      <c r="B256" s="20"/>
      <c r="C256" s="20"/>
      <c r="D256" s="20"/>
      <c r="E256" s="20"/>
      <c r="F256" s="20"/>
      <c r="G256" s="20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2" customHeight="1" x14ac:dyDescent="0.2">
      <c r="A257" s="5"/>
      <c r="B257" s="20"/>
      <c r="C257" s="20"/>
      <c r="D257" s="20"/>
      <c r="E257" s="20"/>
      <c r="F257" s="20"/>
      <c r="G257" s="2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2" customHeight="1" x14ac:dyDescent="0.2">
      <c r="A258" s="5"/>
      <c r="B258" s="20"/>
      <c r="C258" s="20"/>
      <c r="D258" s="20"/>
      <c r="E258" s="20"/>
      <c r="F258" s="20"/>
      <c r="G258" s="2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2" customHeight="1" x14ac:dyDescent="0.2">
      <c r="A259" s="5"/>
      <c r="B259" s="20"/>
      <c r="C259" s="20"/>
      <c r="D259" s="20"/>
      <c r="E259" s="20"/>
      <c r="F259" s="20"/>
      <c r="G259" s="2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2" customHeight="1" x14ac:dyDescent="0.2">
      <c r="A260" s="5"/>
      <c r="B260" s="20"/>
      <c r="C260" s="20"/>
      <c r="D260" s="20"/>
      <c r="E260" s="20"/>
      <c r="F260" s="20"/>
      <c r="G260" s="2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2" customHeight="1" x14ac:dyDescent="0.2">
      <c r="A261" s="5"/>
      <c r="B261" s="20"/>
      <c r="C261" s="20"/>
      <c r="D261" s="20"/>
      <c r="E261" s="20"/>
      <c r="F261" s="20"/>
      <c r="G261" s="20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2" customHeight="1" x14ac:dyDescent="0.2">
      <c r="A262" s="5"/>
      <c r="B262" s="20"/>
      <c r="C262" s="20"/>
      <c r="D262" s="20"/>
      <c r="E262" s="20"/>
      <c r="F262" s="20"/>
      <c r="G262" s="20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2" customHeight="1" x14ac:dyDescent="0.2">
      <c r="A263" s="5"/>
      <c r="B263" s="20"/>
      <c r="C263" s="20"/>
      <c r="D263" s="20"/>
      <c r="E263" s="20"/>
      <c r="F263" s="20"/>
      <c r="G263" s="2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2" customHeight="1" x14ac:dyDescent="0.2">
      <c r="A264" s="5"/>
      <c r="B264" s="20"/>
      <c r="C264" s="20"/>
      <c r="D264" s="20"/>
      <c r="E264" s="20"/>
      <c r="F264" s="20"/>
      <c r="G264" s="20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2" customHeight="1" x14ac:dyDescent="0.2">
      <c r="A265" s="5"/>
      <c r="B265" s="20"/>
      <c r="C265" s="20"/>
      <c r="D265" s="20"/>
      <c r="E265" s="20"/>
      <c r="F265" s="20"/>
      <c r="G265" s="2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2" customHeight="1" x14ac:dyDescent="0.2">
      <c r="A266" s="5"/>
      <c r="B266" s="20"/>
      <c r="C266" s="20"/>
      <c r="D266" s="20"/>
      <c r="E266" s="20"/>
      <c r="F266" s="20"/>
      <c r="G266" s="20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2" customHeight="1" x14ac:dyDescent="0.2">
      <c r="A267" s="5"/>
      <c r="B267" s="20"/>
      <c r="C267" s="20"/>
      <c r="D267" s="20"/>
      <c r="E267" s="20"/>
      <c r="F267" s="20"/>
      <c r="G267" s="20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2" customHeight="1" x14ac:dyDescent="0.2">
      <c r="A268" s="5"/>
      <c r="B268" s="20"/>
      <c r="C268" s="20"/>
      <c r="D268" s="20"/>
      <c r="E268" s="20"/>
      <c r="F268" s="20"/>
      <c r="G268" s="2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2" customHeight="1" x14ac:dyDescent="0.2">
      <c r="A269" s="5"/>
      <c r="B269" s="20"/>
      <c r="C269" s="20"/>
      <c r="D269" s="20"/>
      <c r="E269" s="20"/>
      <c r="F269" s="20"/>
      <c r="G269" s="2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2" customHeight="1" x14ac:dyDescent="0.2">
      <c r="A270" s="5"/>
      <c r="B270" s="20"/>
      <c r="C270" s="20"/>
      <c r="D270" s="20"/>
      <c r="E270" s="20"/>
      <c r="F270" s="20"/>
      <c r="G270" s="20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2" customHeight="1" x14ac:dyDescent="0.2">
      <c r="A271" s="5"/>
      <c r="B271" s="20"/>
      <c r="C271" s="20"/>
      <c r="D271" s="20"/>
      <c r="E271" s="20"/>
      <c r="F271" s="20"/>
      <c r="G271" s="20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2" customHeight="1" x14ac:dyDescent="0.2">
      <c r="A272" s="5"/>
      <c r="B272" s="20"/>
      <c r="C272" s="20"/>
      <c r="D272" s="20"/>
      <c r="E272" s="20"/>
      <c r="F272" s="20"/>
      <c r="G272" s="20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2" customHeight="1" x14ac:dyDescent="0.2">
      <c r="A273" s="5"/>
      <c r="B273" s="20"/>
      <c r="C273" s="20"/>
      <c r="D273" s="20"/>
      <c r="E273" s="20"/>
      <c r="F273" s="20"/>
      <c r="G273" s="20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2" customHeight="1" x14ac:dyDescent="0.2">
      <c r="A274" s="5"/>
      <c r="B274" s="20"/>
      <c r="C274" s="20"/>
      <c r="D274" s="20"/>
      <c r="E274" s="20"/>
      <c r="F274" s="20"/>
      <c r="G274" s="2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2" customHeight="1" x14ac:dyDescent="0.2">
      <c r="A275" s="5"/>
      <c r="B275" s="20"/>
      <c r="C275" s="20"/>
      <c r="D275" s="20"/>
      <c r="E275" s="20"/>
      <c r="F275" s="20"/>
      <c r="G275" s="2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2" customHeight="1" x14ac:dyDescent="0.2">
      <c r="A276" s="5"/>
      <c r="B276" s="20"/>
      <c r="C276" s="20"/>
      <c r="D276" s="20"/>
      <c r="E276" s="20"/>
      <c r="F276" s="20"/>
      <c r="G276" s="2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2" customHeight="1" x14ac:dyDescent="0.2">
      <c r="A277" s="5"/>
      <c r="B277" s="20"/>
      <c r="C277" s="20"/>
      <c r="D277" s="20"/>
      <c r="E277" s="20"/>
      <c r="F277" s="20"/>
      <c r="G277" s="2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2" customHeight="1" x14ac:dyDescent="0.2">
      <c r="A278" s="5"/>
      <c r="B278" s="20"/>
      <c r="C278" s="20"/>
      <c r="D278" s="20"/>
      <c r="E278" s="20"/>
      <c r="F278" s="20"/>
      <c r="G278" s="2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2" customHeight="1" x14ac:dyDescent="0.2">
      <c r="A279" s="5"/>
      <c r="B279" s="20"/>
      <c r="C279" s="20"/>
      <c r="D279" s="20"/>
      <c r="E279" s="20"/>
      <c r="F279" s="20"/>
      <c r="G279" s="2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2" customHeight="1" x14ac:dyDescent="0.2">
      <c r="A280" s="5"/>
      <c r="B280" s="20"/>
      <c r="C280" s="20"/>
      <c r="D280" s="20"/>
      <c r="E280" s="20"/>
      <c r="F280" s="20"/>
      <c r="G280" s="2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2" customHeight="1" x14ac:dyDescent="0.2">
      <c r="A281" s="5"/>
      <c r="B281" s="20"/>
      <c r="C281" s="20"/>
      <c r="D281" s="20"/>
      <c r="E281" s="20"/>
      <c r="F281" s="20"/>
      <c r="G281" s="2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2" customHeight="1" x14ac:dyDescent="0.2">
      <c r="A282" s="5"/>
      <c r="B282" s="20"/>
      <c r="C282" s="20"/>
      <c r="D282" s="20"/>
      <c r="E282" s="20"/>
      <c r="F282" s="20"/>
      <c r="G282" s="2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2" customHeight="1" x14ac:dyDescent="0.2">
      <c r="A283" s="5"/>
      <c r="B283" s="20"/>
      <c r="C283" s="20"/>
      <c r="D283" s="20"/>
      <c r="E283" s="20"/>
      <c r="F283" s="20"/>
      <c r="G283" s="2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2" customHeight="1" x14ac:dyDescent="0.2">
      <c r="A284" s="5"/>
      <c r="B284" s="20"/>
      <c r="C284" s="20"/>
      <c r="D284" s="20"/>
      <c r="E284" s="20"/>
      <c r="F284" s="20"/>
      <c r="G284" s="2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2" customHeight="1" x14ac:dyDescent="0.2">
      <c r="A285" s="5"/>
      <c r="B285" s="20"/>
      <c r="C285" s="20"/>
      <c r="D285" s="20"/>
      <c r="E285" s="20"/>
      <c r="F285" s="20"/>
      <c r="G285" s="2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2" customHeight="1" x14ac:dyDescent="0.2">
      <c r="A286" s="5"/>
      <c r="B286" s="20"/>
      <c r="C286" s="20"/>
      <c r="D286" s="20"/>
      <c r="E286" s="20"/>
      <c r="F286" s="20"/>
      <c r="G286" s="2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2" customHeight="1" x14ac:dyDescent="0.2">
      <c r="A287" s="5"/>
      <c r="B287" s="20"/>
      <c r="C287" s="20"/>
      <c r="D287" s="20"/>
      <c r="E287" s="20"/>
      <c r="F287" s="20"/>
      <c r="G287" s="2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2" customHeight="1" x14ac:dyDescent="0.2">
      <c r="A288" s="5"/>
      <c r="B288" s="20"/>
      <c r="C288" s="20"/>
      <c r="D288" s="20"/>
      <c r="E288" s="20"/>
      <c r="F288" s="20"/>
      <c r="G288" s="2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2" customHeight="1" x14ac:dyDescent="0.2">
      <c r="A289" s="5"/>
      <c r="B289" s="20"/>
      <c r="C289" s="20"/>
      <c r="D289" s="20"/>
      <c r="E289" s="20"/>
      <c r="F289" s="20"/>
      <c r="G289" s="20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2" customHeight="1" x14ac:dyDescent="0.2">
      <c r="A290" s="5"/>
      <c r="B290" s="20"/>
      <c r="C290" s="20"/>
      <c r="D290" s="20"/>
      <c r="E290" s="20"/>
      <c r="F290" s="20"/>
      <c r="G290" s="20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2" customHeight="1" x14ac:dyDescent="0.2">
      <c r="A291" s="5"/>
      <c r="B291" s="20"/>
      <c r="C291" s="20"/>
      <c r="D291" s="20"/>
      <c r="E291" s="20"/>
      <c r="F291" s="20"/>
      <c r="G291" s="20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2" customHeight="1" x14ac:dyDescent="0.2">
      <c r="A292" s="5"/>
      <c r="B292" s="20"/>
      <c r="C292" s="20"/>
      <c r="D292" s="20"/>
      <c r="E292" s="20"/>
      <c r="F292" s="20"/>
      <c r="G292" s="20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2" customHeight="1" x14ac:dyDescent="0.2">
      <c r="A293" s="5"/>
      <c r="B293" s="20"/>
      <c r="C293" s="20"/>
      <c r="D293" s="20"/>
      <c r="E293" s="20"/>
      <c r="F293" s="20"/>
      <c r="G293" s="2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2" customHeight="1" x14ac:dyDescent="0.2">
      <c r="A294" s="5"/>
      <c r="B294" s="20"/>
      <c r="C294" s="20"/>
      <c r="D294" s="20"/>
      <c r="E294" s="20"/>
      <c r="F294" s="20"/>
      <c r="G294" s="20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2" customHeight="1" x14ac:dyDescent="0.2">
      <c r="A295" s="5"/>
      <c r="B295" s="20"/>
      <c r="C295" s="20"/>
      <c r="D295" s="20"/>
      <c r="E295" s="20"/>
      <c r="F295" s="20"/>
      <c r="G295" s="2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2" customHeight="1" x14ac:dyDescent="0.2">
      <c r="A296" s="5"/>
      <c r="B296" s="20"/>
      <c r="C296" s="20"/>
      <c r="D296" s="20"/>
      <c r="E296" s="20"/>
      <c r="F296" s="20"/>
      <c r="G296" s="2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2" customHeight="1" x14ac:dyDescent="0.2">
      <c r="A297" s="5"/>
      <c r="B297" s="20"/>
      <c r="C297" s="20"/>
      <c r="D297" s="20"/>
      <c r="E297" s="20"/>
      <c r="F297" s="20"/>
      <c r="G297" s="2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2" customHeight="1" x14ac:dyDescent="0.2">
      <c r="A298" s="5"/>
      <c r="B298" s="20"/>
      <c r="C298" s="20"/>
      <c r="D298" s="20"/>
      <c r="E298" s="20"/>
      <c r="F298" s="20"/>
      <c r="G298" s="2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2" customHeight="1" x14ac:dyDescent="0.2">
      <c r="A299" s="5"/>
      <c r="B299" s="20"/>
      <c r="C299" s="20"/>
      <c r="D299" s="20"/>
      <c r="E299" s="20"/>
      <c r="F299" s="20"/>
      <c r="G299" s="2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2" customHeight="1" x14ac:dyDescent="0.2">
      <c r="A300" s="5"/>
      <c r="B300" s="20"/>
      <c r="C300" s="20"/>
      <c r="D300" s="20"/>
      <c r="E300" s="20"/>
      <c r="F300" s="20"/>
      <c r="G300" s="2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2" customHeight="1" x14ac:dyDescent="0.2">
      <c r="A301" s="5"/>
      <c r="B301" s="20"/>
      <c r="C301" s="20"/>
      <c r="D301" s="20"/>
      <c r="E301" s="20"/>
      <c r="F301" s="20"/>
      <c r="G301" s="2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2" customHeight="1" x14ac:dyDescent="0.2">
      <c r="A302" s="5"/>
      <c r="B302" s="20"/>
      <c r="C302" s="20"/>
      <c r="D302" s="20"/>
      <c r="E302" s="20"/>
      <c r="F302" s="20"/>
      <c r="G302" s="2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2" customHeight="1" x14ac:dyDescent="0.2">
      <c r="A303" s="5"/>
      <c r="B303" s="20"/>
      <c r="C303" s="20"/>
      <c r="D303" s="20"/>
      <c r="E303" s="20"/>
      <c r="F303" s="20"/>
      <c r="G303" s="2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2" customHeight="1" x14ac:dyDescent="0.2">
      <c r="A304" s="5"/>
      <c r="B304" s="20"/>
      <c r="C304" s="20"/>
      <c r="D304" s="20"/>
      <c r="E304" s="20"/>
      <c r="F304" s="20"/>
      <c r="G304" s="2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2" customHeight="1" x14ac:dyDescent="0.2">
      <c r="A305" s="5"/>
      <c r="B305" s="20"/>
      <c r="C305" s="20"/>
      <c r="D305" s="20"/>
      <c r="E305" s="20"/>
      <c r="F305" s="20"/>
      <c r="G305" s="2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2" customHeight="1" x14ac:dyDescent="0.2">
      <c r="A306" s="5"/>
      <c r="B306" s="20"/>
      <c r="C306" s="20"/>
      <c r="D306" s="20"/>
      <c r="E306" s="20"/>
      <c r="F306" s="20"/>
      <c r="G306" s="2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2" customHeight="1" x14ac:dyDescent="0.2">
      <c r="A307" s="5"/>
      <c r="B307" s="20"/>
      <c r="C307" s="20"/>
      <c r="D307" s="20"/>
      <c r="E307" s="20"/>
      <c r="F307" s="20"/>
      <c r="G307" s="2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2" customHeight="1" x14ac:dyDescent="0.2">
      <c r="A308" s="5"/>
      <c r="B308" s="20"/>
      <c r="C308" s="20"/>
      <c r="D308" s="20"/>
      <c r="E308" s="20"/>
      <c r="F308" s="20"/>
      <c r="G308" s="2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2" customHeight="1" x14ac:dyDescent="0.2">
      <c r="A309" s="5"/>
      <c r="B309" s="20"/>
      <c r="C309" s="20"/>
      <c r="D309" s="20"/>
      <c r="E309" s="20"/>
      <c r="F309" s="20"/>
      <c r="G309" s="2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2" customHeight="1" x14ac:dyDescent="0.2">
      <c r="A310" s="5"/>
      <c r="B310" s="20"/>
      <c r="C310" s="20"/>
      <c r="D310" s="20"/>
      <c r="E310" s="20"/>
      <c r="F310" s="20"/>
      <c r="G310" s="2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2" customHeight="1" x14ac:dyDescent="0.2">
      <c r="A311" s="5"/>
      <c r="B311" s="20"/>
      <c r="C311" s="20"/>
      <c r="D311" s="20"/>
      <c r="E311" s="20"/>
      <c r="F311" s="20"/>
      <c r="G311" s="2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2" customHeight="1" x14ac:dyDescent="0.2">
      <c r="A312" s="5"/>
      <c r="B312" s="20"/>
      <c r="C312" s="20"/>
      <c r="D312" s="20"/>
      <c r="E312" s="20"/>
      <c r="F312" s="20"/>
      <c r="G312" s="2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2" customHeight="1" x14ac:dyDescent="0.2">
      <c r="A313" s="5"/>
      <c r="B313" s="20"/>
      <c r="C313" s="20"/>
      <c r="D313" s="20"/>
      <c r="E313" s="20"/>
      <c r="F313" s="20"/>
      <c r="G313" s="20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2" customHeight="1" x14ac:dyDescent="0.2">
      <c r="A314" s="5"/>
      <c r="B314" s="20"/>
      <c r="C314" s="20"/>
      <c r="D314" s="20"/>
      <c r="E314" s="20"/>
      <c r="F314" s="20"/>
      <c r="G314" s="2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2" customHeight="1" x14ac:dyDescent="0.2">
      <c r="A315" s="5"/>
      <c r="B315" s="20"/>
      <c r="C315" s="20"/>
      <c r="D315" s="20"/>
      <c r="E315" s="20"/>
      <c r="F315" s="20"/>
      <c r="G315" s="2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2" customHeight="1" x14ac:dyDescent="0.2">
      <c r="A316" s="5"/>
      <c r="B316" s="20"/>
      <c r="C316" s="20"/>
      <c r="D316" s="20"/>
      <c r="E316" s="20"/>
      <c r="F316" s="20"/>
      <c r="G316" s="2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2" customHeight="1" x14ac:dyDescent="0.2">
      <c r="A317" s="5"/>
      <c r="B317" s="20"/>
      <c r="C317" s="20"/>
      <c r="D317" s="20"/>
      <c r="E317" s="20"/>
      <c r="F317" s="20"/>
      <c r="G317" s="2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2" customHeight="1" x14ac:dyDescent="0.2">
      <c r="A318" s="5"/>
      <c r="B318" s="20"/>
      <c r="C318" s="20"/>
      <c r="D318" s="20"/>
      <c r="E318" s="20"/>
      <c r="F318" s="20"/>
      <c r="G318" s="2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2" customHeight="1" x14ac:dyDescent="0.2">
      <c r="A319" s="5"/>
      <c r="B319" s="20"/>
      <c r="C319" s="20"/>
      <c r="D319" s="20"/>
      <c r="E319" s="20"/>
      <c r="F319" s="20"/>
      <c r="G319" s="2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2" customHeight="1" x14ac:dyDescent="0.2">
      <c r="A320" s="5"/>
      <c r="B320" s="20"/>
      <c r="C320" s="20"/>
      <c r="D320" s="20"/>
      <c r="E320" s="20"/>
      <c r="F320" s="20"/>
      <c r="G320" s="2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2" customHeight="1" x14ac:dyDescent="0.2">
      <c r="A321" s="5"/>
      <c r="B321" s="20"/>
      <c r="C321" s="20"/>
      <c r="D321" s="20"/>
      <c r="E321" s="20"/>
      <c r="F321" s="20"/>
      <c r="G321" s="2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2" customHeight="1" x14ac:dyDescent="0.2">
      <c r="A322" s="5"/>
      <c r="B322" s="20"/>
      <c r="C322" s="20"/>
      <c r="D322" s="20"/>
      <c r="E322" s="20"/>
      <c r="F322" s="20"/>
      <c r="G322" s="2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2" customHeight="1" x14ac:dyDescent="0.2">
      <c r="A323" s="5"/>
      <c r="B323" s="20"/>
      <c r="C323" s="20"/>
      <c r="D323" s="20"/>
      <c r="E323" s="20"/>
      <c r="F323" s="20"/>
      <c r="G323" s="20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2" customHeight="1" x14ac:dyDescent="0.2">
      <c r="A324" s="5"/>
      <c r="B324" s="20"/>
      <c r="C324" s="20"/>
      <c r="D324" s="20"/>
      <c r="E324" s="20"/>
      <c r="F324" s="20"/>
      <c r="G324" s="2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2" customHeight="1" x14ac:dyDescent="0.2">
      <c r="A325" s="5"/>
      <c r="B325" s="20"/>
      <c r="C325" s="20"/>
      <c r="D325" s="20"/>
      <c r="E325" s="20"/>
      <c r="F325" s="20"/>
      <c r="G325" s="20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2" customHeight="1" x14ac:dyDescent="0.2">
      <c r="A326" s="5"/>
      <c r="B326" s="20"/>
      <c r="C326" s="20"/>
      <c r="D326" s="20"/>
      <c r="E326" s="20"/>
      <c r="F326" s="20"/>
      <c r="G326" s="20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2" customHeight="1" x14ac:dyDescent="0.2">
      <c r="A327" s="5"/>
      <c r="B327" s="20"/>
      <c r="C327" s="20"/>
      <c r="D327" s="20"/>
      <c r="E327" s="20"/>
      <c r="F327" s="20"/>
      <c r="G327" s="20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2" customHeight="1" x14ac:dyDescent="0.2">
      <c r="A328" s="5"/>
      <c r="B328" s="20"/>
      <c r="C328" s="20"/>
      <c r="D328" s="20"/>
      <c r="E328" s="20"/>
      <c r="F328" s="20"/>
      <c r="G328" s="2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2" customHeight="1" x14ac:dyDescent="0.2">
      <c r="A329" s="5"/>
      <c r="B329" s="20"/>
      <c r="C329" s="20"/>
      <c r="D329" s="20"/>
      <c r="E329" s="20"/>
      <c r="F329" s="20"/>
      <c r="G329" s="20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2" customHeight="1" x14ac:dyDescent="0.2">
      <c r="A330" s="5"/>
      <c r="B330" s="20"/>
      <c r="C330" s="20"/>
      <c r="D330" s="20"/>
      <c r="E330" s="20"/>
      <c r="F330" s="20"/>
      <c r="G330" s="20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2" customHeight="1" x14ac:dyDescent="0.2">
      <c r="A331" s="5"/>
      <c r="B331" s="20"/>
      <c r="C331" s="20"/>
      <c r="D331" s="20"/>
      <c r="E331" s="20"/>
      <c r="F331" s="20"/>
      <c r="G331" s="20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2" customHeight="1" x14ac:dyDescent="0.2">
      <c r="A332" s="5"/>
      <c r="B332" s="20"/>
      <c r="C332" s="20"/>
      <c r="D332" s="20"/>
      <c r="E332" s="20"/>
      <c r="F332" s="20"/>
      <c r="G332" s="2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2" customHeight="1" x14ac:dyDescent="0.2">
      <c r="A333" s="5"/>
      <c r="B333" s="20"/>
      <c r="C333" s="20"/>
      <c r="D333" s="20"/>
      <c r="E333" s="20"/>
      <c r="F333" s="20"/>
      <c r="G333" s="20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2" customHeight="1" x14ac:dyDescent="0.2">
      <c r="A334" s="5"/>
      <c r="B334" s="20"/>
      <c r="C334" s="20"/>
      <c r="D334" s="20"/>
      <c r="E334" s="20"/>
      <c r="F334" s="20"/>
      <c r="G334" s="20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2" customHeight="1" x14ac:dyDescent="0.2">
      <c r="A335" s="5"/>
      <c r="B335" s="20"/>
      <c r="C335" s="20"/>
      <c r="D335" s="20"/>
      <c r="E335" s="20"/>
      <c r="F335" s="20"/>
      <c r="G335" s="20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2" customHeight="1" x14ac:dyDescent="0.2">
      <c r="A336" s="5"/>
      <c r="B336" s="20"/>
      <c r="C336" s="20"/>
      <c r="D336" s="20"/>
      <c r="E336" s="20"/>
      <c r="F336" s="20"/>
      <c r="G336" s="20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2" customHeight="1" x14ac:dyDescent="0.2">
      <c r="A337" s="5"/>
      <c r="B337" s="20"/>
      <c r="C337" s="20"/>
      <c r="D337" s="20"/>
      <c r="E337" s="20"/>
      <c r="F337" s="20"/>
      <c r="G337" s="20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2" customHeight="1" x14ac:dyDescent="0.2">
      <c r="A338" s="5"/>
      <c r="B338" s="20"/>
      <c r="C338" s="20"/>
      <c r="D338" s="20"/>
      <c r="E338" s="20"/>
      <c r="F338" s="20"/>
      <c r="G338" s="20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2" customHeight="1" x14ac:dyDescent="0.2">
      <c r="A339" s="5"/>
      <c r="B339" s="20"/>
      <c r="C339" s="20"/>
      <c r="D339" s="20"/>
      <c r="E339" s="20"/>
      <c r="F339" s="20"/>
      <c r="G339" s="2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2" customHeight="1" x14ac:dyDescent="0.2">
      <c r="A340" s="5"/>
      <c r="B340" s="20"/>
      <c r="C340" s="20"/>
      <c r="D340" s="20"/>
      <c r="E340" s="20"/>
      <c r="F340" s="20"/>
      <c r="G340" s="20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2" customHeight="1" x14ac:dyDescent="0.2">
      <c r="A341" s="5"/>
      <c r="B341" s="20"/>
      <c r="C341" s="20"/>
      <c r="D341" s="20"/>
      <c r="E341" s="20"/>
      <c r="F341" s="20"/>
      <c r="G341" s="20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2" customHeight="1" x14ac:dyDescent="0.2">
      <c r="A342" s="5"/>
      <c r="B342" s="20"/>
      <c r="C342" s="20"/>
      <c r="D342" s="20"/>
      <c r="E342" s="20"/>
      <c r="F342" s="20"/>
      <c r="G342" s="2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2" customHeight="1" x14ac:dyDescent="0.2">
      <c r="A343" s="5"/>
      <c r="B343" s="20"/>
      <c r="C343" s="20"/>
      <c r="D343" s="20"/>
      <c r="E343" s="20"/>
      <c r="F343" s="20"/>
      <c r="G343" s="20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2" customHeight="1" x14ac:dyDescent="0.2">
      <c r="A344" s="5"/>
      <c r="B344" s="20"/>
      <c r="C344" s="20"/>
      <c r="D344" s="20"/>
      <c r="E344" s="20"/>
      <c r="F344" s="20"/>
      <c r="G344" s="20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2" customHeight="1" x14ac:dyDescent="0.2">
      <c r="A345" s="5"/>
      <c r="B345" s="20"/>
      <c r="C345" s="20"/>
      <c r="D345" s="20"/>
      <c r="E345" s="20"/>
      <c r="F345" s="20"/>
      <c r="G345" s="20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2" customHeight="1" x14ac:dyDescent="0.2">
      <c r="A346" s="5"/>
      <c r="B346" s="20"/>
      <c r="C346" s="20"/>
      <c r="D346" s="20"/>
      <c r="E346" s="20"/>
      <c r="F346" s="20"/>
      <c r="G346" s="20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2" customHeight="1" x14ac:dyDescent="0.2">
      <c r="A347" s="5"/>
      <c r="B347" s="20"/>
      <c r="C347" s="20"/>
      <c r="D347" s="20"/>
      <c r="E347" s="20"/>
      <c r="F347" s="20"/>
      <c r="G347" s="20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2" customHeight="1" x14ac:dyDescent="0.2">
      <c r="A348" s="5"/>
      <c r="B348" s="20"/>
      <c r="C348" s="20"/>
      <c r="D348" s="20"/>
      <c r="E348" s="20"/>
      <c r="F348" s="20"/>
      <c r="G348" s="20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2" customHeight="1" x14ac:dyDescent="0.2">
      <c r="A349" s="5"/>
      <c r="B349" s="20"/>
      <c r="C349" s="20"/>
      <c r="D349" s="20"/>
      <c r="E349" s="20"/>
      <c r="F349" s="20"/>
      <c r="G349" s="2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2" customHeight="1" x14ac:dyDescent="0.2">
      <c r="A350" s="5"/>
      <c r="B350" s="20"/>
      <c r="C350" s="20"/>
      <c r="D350" s="20"/>
      <c r="E350" s="20"/>
      <c r="F350" s="20"/>
      <c r="G350" s="2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2" customHeight="1" x14ac:dyDescent="0.2">
      <c r="A351" s="5"/>
      <c r="B351" s="20"/>
      <c r="C351" s="20"/>
      <c r="D351" s="20"/>
      <c r="E351" s="20"/>
      <c r="F351" s="20"/>
      <c r="G351" s="20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2" customHeight="1" x14ac:dyDescent="0.2">
      <c r="A352" s="5"/>
      <c r="B352" s="20"/>
      <c r="C352" s="20"/>
      <c r="D352" s="20"/>
      <c r="E352" s="20"/>
      <c r="F352" s="20"/>
      <c r="G352" s="2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2" customHeight="1" x14ac:dyDescent="0.2">
      <c r="A353" s="5"/>
      <c r="B353" s="20"/>
      <c r="C353" s="20"/>
      <c r="D353" s="20"/>
      <c r="E353" s="20"/>
      <c r="F353" s="20"/>
      <c r="G353" s="2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2" customHeight="1" x14ac:dyDescent="0.2">
      <c r="A354" s="5"/>
      <c r="B354" s="20"/>
      <c r="C354" s="20"/>
      <c r="D354" s="20"/>
      <c r="E354" s="20"/>
      <c r="F354" s="20"/>
      <c r="G354" s="20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2" customHeight="1" x14ac:dyDescent="0.2">
      <c r="A355" s="5"/>
      <c r="B355" s="20"/>
      <c r="C355" s="20"/>
      <c r="D355" s="20"/>
      <c r="E355" s="20"/>
      <c r="F355" s="20"/>
      <c r="G355" s="20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2" customHeight="1" x14ac:dyDescent="0.2">
      <c r="A356" s="5"/>
      <c r="B356" s="20"/>
      <c r="C356" s="20"/>
      <c r="D356" s="20"/>
      <c r="E356" s="20"/>
      <c r="F356" s="20"/>
      <c r="G356" s="20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2" customHeight="1" x14ac:dyDescent="0.2">
      <c r="A357" s="5"/>
      <c r="B357" s="20"/>
      <c r="C357" s="20"/>
      <c r="D357" s="20"/>
      <c r="E357" s="20"/>
      <c r="F357" s="20"/>
      <c r="G357" s="20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2" customHeight="1" x14ac:dyDescent="0.2">
      <c r="A358" s="5"/>
      <c r="B358" s="20"/>
      <c r="C358" s="20"/>
      <c r="D358" s="20"/>
      <c r="E358" s="20"/>
      <c r="F358" s="20"/>
      <c r="G358" s="2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2" customHeight="1" x14ac:dyDescent="0.2">
      <c r="A359" s="5"/>
      <c r="B359" s="20"/>
      <c r="C359" s="20"/>
      <c r="D359" s="20"/>
      <c r="E359" s="20"/>
      <c r="F359" s="20"/>
      <c r="G359" s="2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2" customHeight="1" x14ac:dyDescent="0.2">
      <c r="A360" s="5"/>
      <c r="B360" s="20"/>
      <c r="C360" s="20"/>
      <c r="D360" s="20"/>
      <c r="E360" s="20"/>
      <c r="F360" s="20"/>
      <c r="G360" s="20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2" customHeight="1" x14ac:dyDescent="0.2">
      <c r="A361" s="5"/>
      <c r="B361" s="20"/>
      <c r="C361" s="20"/>
      <c r="D361" s="20"/>
      <c r="E361" s="20"/>
      <c r="F361" s="20"/>
      <c r="G361" s="20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2" customHeight="1" x14ac:dyDescent="0.2">
      <c r="A362" s="5"/>
      <c r="B362" s="20"/>
      <c r="C362" s="20"/>
      <c r="D362" s="20"/>
      <c r="E362" s="20"/>
      <c r="F362" s="20"/>
      <c r="G362" s="20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2" customHeight="1" x14ac:dyDescent="0.2">
      <c r="A363" s="5"/>
      <c r="B363" s="20"/>
      <c r="C363" s="20"/>
      <c r="D363" s="20"/>
      <c r="E363" s="20"/>
      <c r="F363" s="20"/>
      <c r="G363" s="20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2" customHeight="1" x14ac:dyDescent="0.2">
      <c r="A364" s="5"/>
      <c r="B364" s="20"/>
      <c r="C364" s="20"/>
      <c r="D364" s="20"/>
      <c r="E364" s="20"/>
      <c r="F364" s="20"/>
      <c r="G364" s="20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2" customHeight="1" x14ac:dyDescent="0.2">
      <c r="A365" s="5"/>
      <c r="B365" s="20"/>
      <c r="C365" s="20"/>
      <c r="D365" s="20"/>
      <c r="E365" s="20"/>
      <c r="F365" s="20"/>
      <c r="G365" s="20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2" customHeight="1" x14ac:dyDescent="0.2">
      <c r="A366" s="5"/>
      <c r="B366" s="20"/>
      <c r="C366" s="20"/>
      <c r="D366" s="20"/>
      <c r="E366" s="20"/>
      <c r="F366" s="20"/>
      <c r="G366" s="20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2" customHeight="1" x14ac:dyDescent="0.2">
      <c r="A367" s="5"/>
      <c r="B367" s="20"/>
      <c r="C367" s="20"/>
      <c r="D367" s="20"/>
      <c r="E367" s="20"/>
      <c r="F367" s="20"/>
      <c r="G367" s="2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2" customHeight="1" x14ac:dyDescent="0.2">
      <c r="A368" s="5"/>
      <c r="B368" s="20"/>
      <c r="C368" s="20"/>
      <c r="D368" s="20"/>
      <c r="E368" s="20"/>
      <c r="F368" s="20"/>
      <c r="G368" s="20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2" customHeight="1" x14ac:dyDescent="0.2">
      <c r="A369" s="5"/>
      <c r="B369" s="20"/>
      <c r="C369" s="20"/>
      <c r="D369" s="20"/>
      <c r="E369" s="20"/>
      <c r="F369" s="20"/>
      <c r="G369" s="20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2" customHeight="1" x14ac:dyDescent="0.2">
      <c r="A370" s="5"/>
      <c r="B370" s="20"/>
      <c r="C370" s="20"/>
      <c r="D370" s="20"/>
      <c r="E370" s="20"/>
      <c r="F370" s="20"/>
      <c r="G370" s="2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2" customHeight="1" x14ac:dyDescent="0.2">
      <c r="A371" s="5"/>
      <c r="B371" s="20"/>
      <c r="C371" s="20"/>
      <c r="D371" s="20"/>
      <c r="E371" s="20"/>
      <c r="F371" s="20"/>
      <c r="G371" s="20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2" customHeight="1" x14ac:dyDescent="0.2">
      <c r="A372" s="5"/>
      <c r="B372" s="20"/>
      <c r="C372" s="20"/>
      <c r="D372" s="20"/>
      <c r="E372" s="20"/>
      <c r="F372" s="20"/>
      <c r="G372" s="20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2" customHeight="1" x14ac:dyDescent="0.2">
      <c r="A373" s="5"/>
      <c r="B373" s="20"/>
      <c r="C373" s="20"/>
      <c r="D373" s="20"/>
      <c r="E373" s="20"/>
      <c r="F373" s="20"/>
      <c r="G373" s="20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2" customHeight="1" x14ac:dyDescent="0.2">
      <c r="A374" s="5"/>
      <c r="B374" s="20"/>
      <c r="C374" s="20"/>
      <c r="D374" s="20"/>
      <c r="E374" s="20"/>
      <c r="F374" s="20"/>
      <c r="G374" s="20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2" customHeight="1" x14ac:dyDescent="0.2">
      <c r="A375" s="5"/>
      <c r="B375" s="20"/>
      <c r="C375" s="20"/>
      <c r="D375" s="20"/>
      <c r="E375" s="20"/>
      <c r="F375" s="20"/>
      <c r="G375" s="20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2" customHeight="1" x14ac:dyDescent="0.2">
      <c r="A376" s="5"/>
      <c r="B376" s="20"/>
      <c r="C376" s="20"/>
      <c r="D376" s="20"/>
      <c r="E376" s="20"/>
      <c r="F376" s="20"/>
      <c r="G376" s="20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2" customHeight="1" x14ac:dyDescent="0.2">
      <c r="A377" s="5"/>
      <c r="B377" s="20"/>
      <c r="C377" s="20"/>
      <c r="D377" s="20"/>
      <c r="E377" s="20"/>
      <c r="F377" s="20"/>
      <c r="G377" s="2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2" customHeight="1" x14ac:dyDescent="0.2">
      <c r="A378" s="5"/>
      <c r="B378" s="20"/>
      <c r="C378" s="20"/>
      <c r="D378" s="20"/>
      <c r="E378" s="20"/>
      <c r="F378" s="20"/>
      <c r="G378" s="20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2" customHeight="1" x14ac:dyDescent="0.2">
      <c r="A379" s="5"/>
      <c r="B379" s="20"/>
      <c r="C379" s="20"/>
      <c r="D379" s="20"/>
      <c r="E379" s="20"/>
      <c r="F379" s="20"/>
      <c r="G379" s="20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2" customHeight="1" x14ac:dyDescent="0.2">
      <c r="A380" s="5"/>
      <c r="B380" s="20"/>
      <c r="C380" s="20"/>
      <c r="D380" s="20"/>
      <c r="E380" s="20"/>
      <c r="F380" s="20"/>
      <c r="G380" s="2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2" customHeight="1" x14ac:dyDescent="0.2">
      <c r="A381" s="5"/>
      <c r="B381" s="20"/>
      <c r="C381" s="20"/>
      <c r="D381" s="20"/>
      <c r="E381" s="20"/>
      <c r="F381" s="20"/>
      <c r="G381" s="20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2" customHeight="1" x14ac:dyDescent="0.2">
      <c r="A382" s="5"/>
      <c r="B382" s="20"/>
      <c r="C382" s="20"/>
      <c r="D382" s="20"/>
      <c r="E382" s="20"/>
      <c r="F382" s="20"/>
      <c r="G382" s="2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2" customHeight="1" x14ac:dyDescent="0.2">
      <c r="A383" s="5"/>
      <c r="B383" s="20"/>
      <c r="C383" s="20"/>
      <c r="D383" s="20"/>
      <c r="E383" s="20"/>
      <c r="F383" s="20"/>
      <c r="G383" s="2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2" customHeight="1" x14ac:dyDescent="0.2">
      <c r="A384" s="5"/>
      <c r="B384" s="20"/>
      <c r="C384" s="20"/>
      <c r="D384" s="20"/>
      <c r="E384" s="20"/>
      <c r="F384" s="20"/>
      <c r="G384" s="2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2" customHeight="1" x14ac:dyDescent="0.2">
      <c r="A385" s="5"/>
      <c r="B385" s="20"/>
      <c r="C385" s="20"/>
      <c r="D385" s="20"/>
      <c r="E385" s="20"/>
      <c r="F385" s="20"/>
      <c r="G385" s="20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2" customHeight="1" x14ac:dyDescent="0.2">
      <c r="A386" s="5"/>
      <c r="B386" s="20"/>
      <c r="C386" s="20"/>
      <c r="D386" s="20"/>
      <c r="E386" s="20"/>
      <c r="F386" s="20"/>
      <c r="G386" s="20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2" customHeight="1" x14ac:dyDescent="0.2">
      <c r="A387" s="5"/>
      <c r="B387" s="20"/>
      <c r="C387" s="20"/>
      <c r="D387" s="20"/>
      <c r="E387" s="20"/>
      <c r="F387" s="20"/>
      <c r="G387" s="20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2" customHeight="1" x14ac:dyDescent="0.2">
      <c r="A388" s="5"/>
      <c r="B388" s="20"/>
      <c r="C388" s="20"/>
      <c r="D388" s="20"/>
      <c r="E388" s="20"/>
      <c r="F388" s="20"/>
      <c r="G388" s="20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2" customHeight="1" x14ac:dyDescent="0.2">
      <c r="A389" s="5"/>
      <c r="B389" s="20"/>
      <c r="C389" s="20"/>
      <c r="D389" s="20"/>
      <c r="E389" s="20"/>
      <c r="F389" s="20"/>
      <c r="G389" s="20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2" customHeight="1" x14ac:dyDescent="0.2">
      <c r="A390" s="5"/>
      <c r="B390" s="20"/>
      <c r="C390" s="20"/>
      <c r="D390" s="20"/>
      <c r="E390" s="20"/>
      <c r="F390" s="20"/>
      <c r="G390" s="2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2" customHeight="1" x14ac:dyDescent="0.2">
      <c r="A391" s="5"/>
      <c r="B391" s="20"/>
      <c r="C391" s="20"/>
      <c r="D391" s="20"/>
      <c r="E391" s="20"/>
      <c r="F391" s="20"/>
      <c r="G391" s="2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2" customHeight="1" x14ac:dyDescent="0.2">
      <c r="A392" s="5"/>
      <c r="B392" s="20"/>
      <c r="C392" s="20"/>
      <c r="D392" s="20"/>
      <c r="E392" s="20"/>
      <c r="F392" s="20"/>
      <c r="G392" s="20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2" customHeight="1" x14ac:dyDescent="0.2">
      <c r="A393" s="5"/>
      <c r="B393" s="20"/>
      <c r="C393" s="20"/>
      <c r="D393" s="20"/>
      <c r="E393" s="20"/>
      <c r="F393" s="20"/>
      <c r="G393" s="2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2" customHeight="1" x14ac:dyDescent="0.2">
      <c r="A394" s="5"/>
      <c r="B394" s="20"/>
      <c r="C394" s="20"/>
      <c r="D394" s="20"/>
      <c r="E394" s="20"/>
      <c r="F394" s="20"/>
      <c r="G394" s="2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2" customHeight="1" x14ac:dyDescent="0.2">
      <c r="A395" s="5"/>
      <c r="B395" s="20"/>
      <c r="C395" s="20"/>
      <c r="D395" s="20"/>
      <c r="E395" s="20"/>
      <c r="F395" s="20"/>
      <c r="G395" s="2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2" customHeight="1" x14ac:dyDescent="0.2">
      <c r="A396" s="5"/>
      <c r="B396" s="20"/>
      <c r="C396" s="20"/>
      <c r="D396" s="20"/>
      <c r="E396" s="20"/>
      <c r="F396" s="20"/>
      <c r="G396" s="2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2" customHeight="1" x14ac:dyDescent="0.2">
      <c r="A397" s="5"/>
      <c r="B397" s="20"/>
      <c r="C397" s="20"/>
      <c r="D397" s="20"/>
      <c r="E397" s="20"/>
      <c r="F397" s="20"/>
      <c r="G397" s="20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2" customHeight="1" x14ac:dyDescent="0.2">
      <c r="A398" s="5"/>
      <c r="B398" s="20"/>
      <c r="C398" s="20"/>
      <c r="D398" s="20"/>
      <c r="E398" s="20"/>
      <c r="F398" s="20"/>
      <c r="G398" s="20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2" customHeight="1" x14ac:dyDescent="0.2">
      <c r="A399" s="5"/>
      <c r="B399" s="20"/>
      <c r="C399" s="20"/>
      <c r="D399" s="20"/>
      <c r="E399" s="20"/>
      <c r="F399" s="20"/>
      <c r="G399" s="2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2" customHeight="1" x14ac:dyDescent="0.2">
      <c r="A400" s="5"/>
      <c r="B400" s="20"/>
      <c r="C400" s="20"/>
      <c r="D400" s="20"/>
      <c r="E400" s="20"/>
      <c r="F400" s="20"/>
      <c r="G400" s="2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2" customHeight="1" x14ac:dyDescent="0.2">
      <c r="A401" s="5"/>
      <c r="B401" s="20"/>
      <c r="C401" s="20"/>
      <c r="D401" s="20"/>
      <c r="E401" s="20"/>
      <c r="F401" s="20"/>
      <c r="G401" s="2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2" customHeight="1" x14ac:dyDescent="0.2">
      <c r="A402" s="5"/>
      <c r="B402" s="20"/>
      <c r="C402" s="20"/>
      <c r="D402" s="20"/>
      <c r="E402" s="20"/>
      <c r="F402" s="20"/>
      <c r="G402" s="2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2" customHeight="1" x14ac:dyDescent="0.2">
      <c r="A403" s="5"/>
      <c r="B403" s="20"/>
      <c r="C403" s="20"/>
      <c r="D403" s="20"/>
      <c r="E403" s="20"/>
      <c r="F403" s="20"/>
      <c r="G403" s="2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2" customHeight="1" x14ac:dyDescent="0.2">
      <c r="A404" s="5"/>
      <c r="B404" s="20"/>
      <c r="C404" s="20"/>
      <c r="D404" s="20"/>
      <c r="E404" s="20"/>
      <c r="F404" s="20"/>
      <c r="G404" s="2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2" customHeight="1" x14ac:dyDescent="0.2">
      <c r="A405" s="5"/>
      <c r="B405" s="20"/>
      <c r="C405" s="20"/>
      <c r="D405" s="20"/>
      <c r="E405" s="20"/>
      <c r="F405" s="20"/>
      <c r="G405" s="2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2" customHeight="1" x14ac:dyDescent="0.2">
      <c r="A406" s="5"/>
      <c r="B406" s="20"/>
      <c r="C406" s="20"/>
      <c r="D406" s="20"/>
      <c r="E406" s="20"/>
      <c r="F406" s="20"/>
      <c r="G406" s="2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2" customHeight="1" x14ac:dyDescent="0.2">
      <c r="A407" s="5"/>
      <c r="B407" s="20"/>
      <c r="C407" s="20"/>
      <c r="D407" s="20"/>
      <c r="E407" s="20"/>
      <c r="F407" s="20"/>
      <c r="G407" s="2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2" customHeight="1" x14ac:dyDescent="0.2">
      <c r="A408" s="5"/>
      <c r="B408" s="20"/>
      <c r="C408" s="20"/>
      <c r="D408" s="20"/>
      <c r="E408" s="20"/>
      <c r="F408" s="20"/>
      <c r="G408" s="2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2" customHeight="1" x14ac:dyDescent="0.2">
      <c r="A409" s="5"/>
      <c r="B409" s="20"/>
      <c r="C409" s="20"/>
      <c r="D409" s="20"/>
      <c r="E409" s="20"/>
      <c r="F409" s="20"/>
      <c r="G409" s="2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2" customHeight="1" x14ac:dyDescent="0.2">
      <c r="A410" s="5"/>
      <c r="B410" s="20"/>
      <c r="C410" s="20"/>
      <c r="D410" s="20"/>
      <c r="E410" s="20"/>
      <c r="F410" s="20"/>
      <c r="G410" s="2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2" customHeight="1" x14ac:dyDescent="0.2">
      <c r="A411" s="5"/>
      <c r="B411" s="20"/>
      <c r="C411" s="20"/>
      <c r="D411" s="20"/>
      <c r="E411" s="20"/>
      <c r="F411" s="20"/>
      <c r="G411" s="2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2" customHeight="1" x14ac:dyDescent="0.2">
      <c r="A412" s="5"/>
      <c r="B412" s="20"/>
      <c r="C412" s="20"/>
      <c r="D412" s="20"/>
      <c r="E412" s="20"/>
      <c r="F412" s="20"/>
      <c r="G412" s="2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2" customHeight="1" x14ac:dyDescent="0.2">
      <c r="A413" s="5"/>
      <c r="B413" s="20"/>
      <c r="C413" s="20"/>
      <c r="D413" s="20"/>
      <c r="E413" s="20"/>
      <c r="F413" s="20"/>
      <c r="G413" s="2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2" customHeight="1" x14ac:dyDescent="0.2">
      <c r="A414" s="5"/>
      <c r="B414" s="20"/>
      <c r="C414" s="20"/>
      <c r="D414" s="20"/>
      <c r="E414" s="20"/>
      <c r="F414" s="20"/>
      <c r="G414" s="2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2" customHeight="1" x14ac:dyDescent="0.2">
      <c r="A415" s="5"/>
      <c r="B415" s="20"/>
      <c r="C415" s="20"/>
      <c r="D415" s="20"/>
      <c r="E415" s="20"/>
      <c r="F415" s="20"/>
      <c r="G415" s="2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2" customHeight="1" x14ac:dyDescent="0.2">
      <c r="A416" s="5"/>
      <c r="B416" s="20"/>
      <c r="C416" s="20"/>
      <c r="D416" s="20"/>
      <c r="E416" s="20"/>
      <c r="F416" s="20"/>
      <c r="G416" s="2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2" customHeight="1" x14ac:dyDescent="0.2">
      <c r="A417" s="5"/>
      <c r="B417" s="20"/>
      <c r="C417" s="20"/>
      <c r="D417" s="20"/>
      <c r="E417" s="20"/>
      <c r="F417" s="20"/>
      <c r="G417" s="2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2" customHeight="1" x14ac:dyDescent="0.2">
      <c r="A418" s="5"/>
      <c r="B418" s="20"/>
      <c r="C418" s="20"/>
      <c r="D418" s="20"/>
      <c r="E418" s="20"/>
      <c r="F418" s="20"/>
      <c r="G418" s="20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2" customHeight="1" x14ac:dyDescent="0.2">
      <c r="A419" s="5"/>
      <c r="B419" s="20"/>
      <c r="C419" s="20"/>
      <c r="D419" s="20"/>
      <c r="E419" s="20"/>
      <c r="F419" s="20"/>
      <c r="G419" s="20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2" customHeight="1" x14ac:dyDescent="0.2">
      <c r="A420" s="5"/>
      <c r="B420" s="20"/>
      <c r="C420" s="20"/>
      <c r="D420" s="20"/>
      <c r="E420" s="20"/>
      <c r="F420" s="20"/>
      <c r="G420" s="2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2" customHeight="1" x14ac:dyDescent="0.2">
      <c r="A421" s="5"/>
      <c r="B421" s="20"/>
      <c r="C421" s="20"/>
      <c r="D421" s="20"/>
      <c r="E421" s="20"/>
      <c r="F421" s="20"/>
      <c r="G421" s="20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2" customHeight="1" x14ac:dyDescent="0.2">
      <c r="A422" s="5"/>
      <c r="B422" s="20"/>
      <c r="C422" s="20"/>
      <c r="D422" s="20"/>
      <c r="E422" s="20"/>
      <c r="F422" s="20"/>
      <c r="G422" s="2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2" customHeight="1" x14ac:dyDescent="0.2">
      <c r="A423" s="5"/>
      <c r="B423" s="20"/>
      <c r="C423" s="20"/>
      <c r="D423" s="20"/>
      <c r="E423" s="20"/>
      <c r="F423" s="20"/>
      <c r="G423" s="20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2" customHeight="1" x14ac:dyDescent="0.2">
      <c r="A424" s="5"/>
      <c r="B424" s="20"/>
      <c r="C424" s="20"/>
      <c r="D424" s="20"/>
      <c r="E424" s="20"/>
      <c r="F424" s="20"/>
      <c r="G424" s="20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2" customHeight="1" x14ac:dyDescent="0.2">
      <c r="A425" s="5"/>
      <c r="B425" s="20"/>
      <c r="C425" s="20"/>
      <c r="D425" s="20"/>
      <c r="E425" s="20"/>
      <c r="F425" s="20"/>
      <c r="G425" s="20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2" customHeight="1" x14ac:dyDescent="0.2">
      <c r="A426" s="5"/>
      <c r="B426" s="20"/>
      <c r="C426" s="20"/>
      <c r="D426" s="20"/>
      <c r="E426" s="20"/>
      <c r="F426" s="20"/>
      <c r="G426" s="20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2" customHeight="1" x14ac:dyDescent="0.2">
      <c r="A427" s="5"/>
      <c r="B427" s="20"/>
      <c r="C427" s="20"/>
      <c r="D427" s="20"/>
      <c r="E427" s="20"/>
      <c r="F427" s="20"/>
      <c r="G427" s="20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2" customHeight="1" x14ac:dyDescent="0.2">
      <c r="A428" s="5"/>
      <c r="B428" s="20"/>
      <c r="C428" s="20"/>
      <c r="D428" s="20"/>
      <c r="E428" s="20"/>
      <c r="F428" s="20"/>
      <c r="G428" s="2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2" customHeight="1" x14ac:dyDescent="0.2">
      <c r="A429" s="5"/>
      <c r="B429" s="20"/>
      <c r="C429" s="20"/>
      <c r="D429" s="20"/>
      <c r="E429" s="20"/>
      <c r="F429" s="20"/>
      <c r="G429" s="20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2" customHeight="1" x14ac:dyDescent="0.2">
      <c r="A430" s="5"/>
      <c r="B430" s="20"/>
      <c r="C430" s="20"/>
      <c r="D430" s="20"/>
      <c r="E430" s="20"/>
      <c r="F430" s="20"/>
      <c r="G430" s="2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2" customHeight="1" x14ac:dyDescent="0.2">
      <c r="A431" s="5"/>
      <c r="B431" s="20"/>
      <c r="C431" s="20"/>
      <c r="D431" s="20"/>
      <c r="E431" s="20"/>
      <c r="F431" s="20"/>
      <c r="G431" s="20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2" customHeight="1" x14ac:dyDescent="0.2">
      <c r="A432" s="5"/>
      <c r="B432" s="20"/>
      <c r="C432" s="20"/>
      <c r="D432" s="20"/>
      <c r="E432" s="20"/>
      <c r="F432" s="20"/>
      <c r="G432" s="20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2" customHeight="1" x14ac:dyDescent="0.2">
      <c r="A433" s="5"/>
      <c r="B433" s="20"/>
      <c r="C433" s="20"/>
      <c r="D433" s="20"/>
      <c r="E433" s="20"/>
      <c r="F433" s="20"/>
      <c r="G433" s="2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2" customHeight="1" x14ac:dyDescent="0.2">
      <c r="A434" s="5"/>
      <c r="B434" s="20"/>
      <c r="C434" s="20"/>
      <c r="D434" s="20"/>
      <c r="E434" s="20"/>
      <c r="F434" s="20"/>
      <c r="G434" s="20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2" customHeight="1" x14ac:dyDescent="0.2">
      <c r="A435" s="5"/>
      <c r="B435" s="20"/>
      <c r="C435" s="20"/>
      <c r="D435" s="20"/>
      <c r="E435" s="20"/>
      <c r="F435" s="20"/>
      <c r="G435" s="20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2" customHeight="1" x14ac:dyDescent="0.2">
      <c r="A436" s="5"/>
      <c r="B436" s="20"/>
      <c r="C436" s="20"/>
      <c r="D436" s="20"/>
      <c r="E436" s="20"/>
      <c r="F436" s="20"/>
      <c r="G436" s="20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2" customHeight="1" x14ac:dyDescent="0.2">
      <c r="A437" s="5"/>
      <c r="B437" s="20"/>
      <c r="C437" s="20"/>
      <c r="D437" s="20"/>
      <c r="E437" s="20"/>
      <c r="F437" s="20"/>
      <c r="G437" s="20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2" customHeight="1" x14ac:dyDescent="0.2">
      <c r="A438" s="5"/>
      <c r="B438" s="20"/>
      <c r="C438" s="20"/>
      <c r="D438" s="20"/>
      <c r="E438" s="20"/>
      <c r="F438" s="20"/>
      <c r="G438" s="20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2" customHeight="1" x14ac:dyDescent="0.2">
      <c r="A439" s="5"/>
      <c r="B439" s="20"/>
      <c r="C439" s="20"/>
      <c r="D439" s="20"/>
      <c r="E439" s="20"/>
      <c r="F439" s="20"/>
      <c r="G439" s="20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2" customHeight="1" x14ac:dyDescent="0.2">
      <c r="A440" s="5"/>
      <c r="B440" s="20"/>
      <c r="C440" s="20"/>
      <c r="D440" s="20"/>
      <c r="E440" s="20"/>
      <c r="F440" s="20"/>
      <c r="G440" s="20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2" customHeight="1" x14ac:dyDescent="0.2">
      <c r="A441" s="5"/>
      <c r="B441" s="20"/>
      <c r="C441" s="20"/>
      <c r="D441" s="20"/>
      <c r="E441" s="20"/>
      <c r="F441" s="20"/>
      <c r="G441" s="2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2" customHeight="1" x14ac:dyDescent="0.2">
      <c r="A442" s="5"/>
      <c r="B442" s="20"/>
      <c r="C442" s="20"/>
      <c r="D442" s="20"/>
      <c r="E442" s="20"/>
      <c r="F442" s="20"/>
      <c r="G442" s="20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2" customHeight="1" x14ac:dyDescent="0.2">
      <c r="A443" s="5"/>
      <c r="B443" s="20"/>
      <c r="C443" s="20"/>
      <c r="D443" s="20"/>
      <c r="E443" s="20"/>
      <c r="F443" s="20"/>
      <c r="G443" s="2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2" customHeight="1" x14ac:dyDescent="0.2">
      <c r="A444" s="5"/>
      <c r="B444" s="20"/>
      <c r="C444" s="20"/>
      <c r="D444" s="20"/>
      <c r="E444" s="20"/>
      <c r="F444" s="20"/>
      <c r="G444" s="2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2" customHeight="1" x14ac:dyDescent="0.2">
      <c r="A445" s="5"/>
      <c r="B445" s="20"/>
      <c r="C445" s="20"/>
      <c r="D445" s="20"/>
      <c r="E445" s="20"/>
      <c r="F445" s="20"/>
      <c r="G445" s="2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2" customHeight="1" x14ac:dyDescent="0.2">
      <c r="A446" s="5"/>
      <c r="B446" s="20"/>
      <c r="C446" s="20"/>
      <c r="D446" s="20"/>
      <c r="E446" s="20"/>
      <c r="F446" s="20"/>
      <c r="G446" s="20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2" customHeight="1" x14ac:dyDescent="0.2">
      <c r="A447" s="5"/>
      <c r="B447" s="20"/>
      <c r="C447" s="20"/>
      <c r="D447" s="20"/>
      <c r="E447" s="20"/>
      <c r="F447" s="20"/>
      <c r="G447" s="20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2" customHeight="1" x14ac:dyDescent="0.2">
      <c r="A448" s="5"/>
      <c r="B448" s="20"/>
      <c r="C448" s="20"/>
      <c r="D448" s="20"/>
      <c r="E448" s="20"/>
      <c r="F448" s="20"/>
      <c r="G448" s="20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2" customHeight="1" x14ac:dyDescent="0.2">
      <c r="A449" s="5"/>
      <c r="B449" s="20"/>
      <c r="C449" s="20"/>
      <c r="D449" s="20"/>
      <c r="E449" s="20"/>
      <c r="F449" s="20"/>
      <c r="G449" s="20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2" customHeight="1" x14ac:dyDescent="0.2">
      <c r="A450" s="5"/>
      <c r="B450" s="20"/>
      <c r="C450" s="20"/>
      <c r="D450" s="20"/>
      <c r="E450" s="20"/>
      <c r="F450" s="20"/>
      <c r="G450" s="20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2" customHeight="1" x14ac:dyDescent="0.2">
      <c r="A451" s="5"/>
      <c r="B451" s="20"/>
      <c r="C451" s="20"/>
      <c r="D451" s="20"/>
      <c r="E451" s="20"/>
      <c r="F451" s="20"/>
      <c r="G451" s="2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2" customHeight="1" x14ac:dyDescent="0.2">
      <c r="A452" s="5"/>
      <c r="B452" s="20"/>
      <c r="C452" s="20"/>
      <c r="D452" s="20"/>
      <c r="E452" s="20"/>
      <c r="F452" s="20"/>
      <c r="G452" s="2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2" customHeight="1" x14ac:dyDescent="0.2">
      <c r="A453" s="5"/>
      <c r="B453" s="20"/>
      <c r="C453" s="20"/>
      <c r="D453" s="20"/>
      <c r="E453" s="20"/>
      <c r="F453" s="20"/>
      <c r="G453" s="20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2" customHeight="1" x14ac:dyDescent="0.2">
      <c r="A454" s="5"/>
      <c r="B454" s="20"/>
      <c r="C454" s="20"/>
      <c r="D454" s="20"/>
      <c r="E454" s="20"/>
      <c r="F454" s="20"/>
      <c r="G454" s="2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2" customHeight="1" x14ac:dyDescent="0.2">
      <c r="A455" s="5"/>
      <c r="B455" s="20"/>
      <c r="C455" s="20"/>
      <c r="D455" s="20"/>
      <c r="E455" s="20"/>
      <c r="F455" s="20"/>
      <c r="G455" s="2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2" customHeight="1" x14ac:dyDescent="0.2">
      <c r="A456" s="5"/>
      <c r="B456" s="20"/>
      <c r="C456" s="20"/>
      <c r="D456" s="20"/>
      <c r="E456" s="20"/>
      <c r="F456" s="20"/>
      <c r="G456" s="2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2" customHeight="1" x14ac:dyDescent="0.2">
      <c r="A457" s="5"/>
      <c r="B457" s="20"/>
      <c r="C457" s="20"/>
      <c r="D457" s="20"/>
      <c r="E457" s="20"/>
      <c r="F457" s="20"/>
      <c r="G457" s="20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2" customHeight="1" x14ac:dyDescent="0.2">
      <c r="A458" s="5"/>
      <c r="B458" s="20"/>
      <c r="C458" s="20"/>
      <c r="D458" s="20"/>
      <c r="E458" s="20"/>
      <c r="F458" s="20"/>
      <c r="G458" s="20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2" customHeight="1" x14ac:dyDescent="0.2">
      <c r="A459" s="5"/>
      <c r="B459" s="20"/>
      <c r="C459" s="20"/>
      <c r="D459" s="20"/>
      <c r="E459" s="20"/>
      <c r="F459" s="20"/>
      <c r="G459" s="20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2" customHeight="1" x14ac:dyDescent="0.2">
      <c r="A460" s="5"/>
      <c r="B460" s="20"/>
      <c r="C460" s="20"/>
      <c r="D460" s="20"/>
      <c r="E460" s="20"/>
      <c r="F460" s="20"/>
      <c r="G460" s="20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2" customHeight="1" x14ac:dyDescent="0.2">
      <c r="A461" s="5"/>
      <c r="B461" s="20"/>
      <c r="C461" s="20"/>
      <c r="D461" s="20"/>
      <c r="E461" s="20"/>
      <c r="F461" s="20"/>
      <c r="G461" s="2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2" customHeight="1" x14ac:dyDescent="0.2">
      <c r="A462" s="5"/>
      <c r="B462" s="20"/>
      <c r="C462" s="20"/>
      <c r="D462" s="20"/>
      <c r="E462" s="20"/>
      <c r="F462" s="20"/>
      <c r="G462" s="20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2" customHeight="1" x14ac:dyDescent="0.2">
      <c r="A463" s="5"/>
      <c r="B463" s="20"/>
      <c r="C463" s="20"/>
      <c r="D463" s="20"/>
      <c r="E463" s="20"/>
      <c r="F463" s="20"/>
      <c r="G463" s="20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2" customHeight="1" x14ac:dyDescent="0.2">
      <c r="A464" s="5"/>
      <c r="B464" s="20"/>
      <c r="C464" s="20"/>
      <c r="D464" s="20"/>
      <c r="E464" s="20"/>
      <c r="F464" s="20"/>
      <c r="G464" s="20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2" customHeight="1" x14ac:dyDescent="0.2">
      <c r="A465" s="5"/>
      <c r="B465" s="20"/>
      <c r="C465" s="20"/>
      <c r="D465" s="20"/>
      <c r="E465" s="20"/>
      <c r="F465" s="20"/>
      <c r="G465" s="2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2" customHeight="1" x14ac:dyDescent="0.2">
      <c r="A466" s="5"/>
      <c r="B466" s="20"/>
      <c r="C466" s="20"/>
      <c r="D466" s="20"/>
      <c r="E466" s="20"/>
      <c r="F466" s="20"/>
      <c r="G466" s="2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2" customHeight="1" x14ac:dyDescent="0.2">
      <c r="A467" s="5"/>
      <c r="B467" s="20"/>
      <c r="C467" s="20"/>
      <c r="D467" s="20"/>
      <c r="E467" s="20"/>
      <c r="F467" s="20"/>
      <c r="G467" s="2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2" customHeight="1" x14ac:dyDescent="0.2">
      <c r="A468" s="5"/>
      <c r="B468" s="20"/>
      <c r="C468" s="20"/>
      <c r="D468" s="20"/>
      <c r="E468" s="20"/>
      <c r="F468" s="20"/>
      <c r="G468" s="2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2" customHeight="1" x14ac:dyDescent="0.2">
      <c r="A469" s="5"/>
      <c r="B469" s="20"/>
      <c r="C469" s="20"/>
      <c r="D469" s="20"/>
      <c r="E469" s="20"/>
      <c r="F469" s="20"/>
      <c r="G469" s="2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2" customHeight="1" x14ac:dyDescent="0.2">
      <c r="A470" s="5"/>
      <c r="B470" s="20"/>
      <c r="C470" s="20"/>
      <c r="D470" s="20"/>
      <c r="E470" s="20"/>
      <c r="F470" s="20"/>
      <c r="G470" s="20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2" customHeight="1" x14ac:dyDescent="0.2">
      <c r="A471" s="5"/>
      <c r="B471" s="20"/>
      <c r="C471" s="20"/>
      <c r="D471" s="20"/>
      <c r="E471" s="20"/>
      <c r="F471" s="20"/>
      <c r="G471" s="20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2" customHeight="1" x14ac:dyDescent="0.2">
      <c r="A472" s="5"/>
      <c r="B472" s="20"/>
      <c r="C472" s="20"/>
      <c r="D472" s="20"/>
      <c r="E472" s="20"/>
      <c r="F472" s="20"/>
      <c r="G472" s="20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2" customHeight="1" x14ac:dyDescent="0.2">
      <c r="A473" s="5"/>
      <c r="B473" s="20"/>
      <c r="C473" s="20"/>
      <c r="D473" s="20"/>
      <c r="E473" s="20"/>
      <c r="F473" s="20"/>
      <c r="G473" s="20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2" customHeight="1" x14ac:dyDescent="0.2">
      <c r="A474" s="5"/>
      <c r="B474" s="20"/>
      <c r="C474" s="20"/>
      <c r="D474" s="20"/>
      <c r="E474" s="20"/>
      <c r="F474" s="20"/>
      <c r="G474" s="20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2" customHeight="1" x14ac:dyDescent="0.2">
      <c r="A475" s="5"/>
      <c r="B475" s="20"/>
      <c r="C475" s="20"/>
      <c r="D475" s="20"/>
      <c r="E475" s="20"/>
      <c r="F475" s="20"/>
      <c r="G475" s="20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2" customHeight="1" x14ac:dyDescent="0.2">
      <c r="A476" s="5"/>
      <c r="B476" s="20"/>
      <c r="C476" s="20"/>
      <c r="D476" s="20"/>
      <c r="E476" s="20"/>
      <c r="F476" s="20"/>
      <c r="G476" s="20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2" customHeight="1" x14ac:dyDescent="0.2">
      <c r="A477" s="5"/>
      <c r="B477" s="20"/>
      <c r="C477" s="20"/>
      <c r="D477" s="20"/>
      <c r="E477" s="20"/>
      <c r="F477" s="20"/>
      <c r="G477" s="20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2" customHeight="1" x14ac:dyDescent="0.2">
      <c r="A478" s="5"/>
      <c r="B478" s="20"/>
      <c r="C478" s="20"/>
      <c r="D478" s="20"/>
      <c r="E478" s="20"/>
      <c r="F478" s="20"/>
      <c r="G478" s="20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2" customHeight="1" x14ac:dyDescent="0.2">
      <c r="A479" s="5"/>
      <c r="B479" s="20"/>
      <c r="C479" s="20"/>
      <c r="D479" s="20"/>
      <c r="E479" s="20"/>
      <c r="F479" s="20"/>
      <c r="G479" s="20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2" customHeight="1" x14ac:dyDescent="0.2">
      <c r="A480" s="5"/>
      <c r="B480" s="20"/>
      <c r="C480" s="20"/>
      <c r="D480" s="20"/>
      <c r="E480" s="20"/>
      <c r="F480" s="20"/>
      <c r="G480" s="20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2" customHeight="1" x14ac:dyDescent="0.2">
      <c r="A481" s="5"/>
      <c r="B481" s="20"/>
      <c r="C481" s="20"/>
      <c r="D481" s="20"/>
      <c r="E481" s="20"/>
      <c r="F481" s="20"/>
      <c r="G481" s="20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2" customHeight="1" x14ac:dyDescent="0.2">
      <c r="A482" s="5"/>
      <c r="B482" s="20"/>
      <c r="C482" s="20"/>
      <c r="D482" s="20"/>
      <c r="E482" s="20"/>
      <c r="F482" s="20"/>
      <c r="G482" s="20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2" customHeight="1" x14ac:dyDescent="0.2">
      <c r="A483" s="5"/>
      <c r="B483" s="20"/>
      <c r="C483" s="20"/>
      <c r="D483" s="20"/>
      <c r="E483" s="20"/>
      <c r="F483" s="20"/>
      <c r="G483" s="20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2" customHeight="1" x14ac:dyDescent="0.2">
      <c r="A484" s="5"/>
      <c r="B484" s="20"/>
      <c r="C484" s="20"/>
      <c r="D484" s="20"/>
      <c r="E484" s="20"/>
      <c r="F484" s="20"/>
      <c r="G484" s="20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2" customHeight="1" x14ac:dyDescent="0.2">
      <c r="A485" s="5"/>
      <c r="B485" s="20"/>
      <c r="C485" s="20"/>
      <c r="D485" s="20"/>
      <c r="E485" s="20"/>
      <c r="F485" s="20"/>
      <c r="G485" s="20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2" customHeight="1" x14ac:dyDescent="0.2">
      <c r="A486" s="5"/>
      <c r="B486" s="20"/>
      <c r="C486" s="20"/>
      <c r="D486" s="20"/>
      <c r="E486" s="20"/>
      <c r="F486" s="20"/>
      <c r="G486" s="20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2" customHeight="1" x14ac:dyDescent="0.2">
      <c r="A487" s="5"/>
      <c r="B487" s="20"/>
      <c r="C487" s="20"/>
      <c r="D487" s="20"/>
      <c r="E487" s="20"/>
      <c r="F487" s="20"/>
      <c r="G487" s="20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2" customHeight="1" x14ac:dyDescent="0.2">
      <c r="A488" s="5"/>
      <c r="B488" s="20"/>
      <c r="C488" s="20"/>
      <c r="D488" s="20"/>
      <c r="E488" s="20"/>
      <c r="F488" s="20"/>
      <c r="G488" s="20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2" customHeight="1" x14ac:dyDescent="0.2">
      <c r="A489" s="5"/>
      <c r="B489" s="20"/>
      <c r="C489" s="20"/>
      <c r="D489" s="20"/>
      <c r="E489" s="20"/>
      <c r="F489" s="20"/>
      <c r="G489" s="20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2" customHeight="1" x14ac:dyDescent="0.2">
      <c r="A490" s="5"/>
      <c r="B490" s="20"/>
      <c r="C490" s="20"/>
      <c r="D490" s="20"/>
      <c r="E490" s="20"/>
      <c r="F490" s="20"/>
      <c r="G490" s="20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2" customHeight="1" x14ac:dyDescent="0.2">
      <c r="A491" s="5"/>
      <c r="B491" s="20"/>
      <c r="C491" s="20"/>
      <c r="D491" s="20"/>
      <c r="E491" s="20"/>
      <c r="F491" s="20"/>
      <c r="G491" s="20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2" customHeight="1" x14ac:dyDescent="0.2">
      <c r="A492" s="5"/>
      <c r="B492" s="20"/>
      <c r="C492" s="20"/>
      <c r="D492" s="20"/>
      <c r="E492" s="20"/>
      <c r="F492" s="20"/>
      <c r="G492" s="20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2" customHeight="1" x14ac:dyDescent="0.2">
      <c r="A493" s="5"/>
      <c r="B493" s="20"/>
      <c r="C493" s="20"/>
      <c r="D493" s="20"/>
      <c r="E493" s="20"/>
      <c r="F493" s="20"/>
      <c r="G493" s="20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2" customHeight="1" x14ac:dyDescent="0.2">
      <c r="A494" s="5"/>
      <c r="B494" s="20"/>
      <c r="C494" s="20"/>
      <c r="D494" s="20"/>
      <c r="E494" s="20"/>
      <c r="F494" s="20"/>
      <c r="G494" s="20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2" customHeight="1" x14ac:dyDescent="0.2">
      <c r="A495" s="5"/>
      <c r="B495" s="20"/>
      <c r="C495" s="20"/>
      <c r="D495" s="20"/>
      <c r="E495" s="20"/>
      <c r="F495" s="20"/>
      <c r="G495" s="20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2" customHeight="1" x14ac:dyDescent="0.2">
      <c r="A496" s="5"/>
      <c r="B496" s="20"/>
      <c r="C496" s="20"/>
      <c r="D496" s="20"/>
      <c r="E496" s="20"/>
      <c r="F496" s="20"/>
      <c r="G496" s="20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2" customHeight="1" x14ac:dyDescent="0.2">
      <c r="A497" s="5"/>
      <c r="B497" s="20"/>
      <c r="C497" s="20"/>
      <c r="D497" s="20"/>
      <c r="E497" s="20"/>
      <c r="F497" s="20"/>
      <c r="G497" s="20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2" customHeight="1" x14ac:dyDescent="0.2">
      <c r="A498" s="5"/>
      <c r="B498" s="20"/>
      <c r="C498" s="20"/>
      <c r="D498" s="20"/>
      <c r="E498" s="20"/>
      <c r="F498" s="20"/>
      <c r="G498" s="20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2" customHeight="1" x14ac:dyDescent="0.2">
      <c r="A499" s="5"/>
      <c r="B499" s="20"/>
      <c r="C499" s="20"/>
      <c r="D499" s="20"/>
      <c r="E499" s="20"/>
      <c r="F499" s="20"/>
      <c r="G499" s="20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2" customHeight="1" x14ac:dyDescent="0.2">
      <c r="A500" s="5"/>
      <c r="B500" s="20"/>
      <c r="C500" s="20"/>
      <c r="D500" s="20"/>
      <c r="E500" s="20"/>
      <c r="F500" s="20"/>
      <c r="G500" s="20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2" customHeight="1" x14ac:dyDescent="0.2">
      <c r="A501" s="5"/>
      <c r="B501" s="20"/>
      <c r="C501" s="20"/>
      <c r="D501" s="20"/>
      <c r="E501" s="20"/>
      <c r="F501" s="20"/>
      <c r="G501" s="20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2" customHeight="1" x14ac:dyDescent="0.2">
      <c r="A502" s="5"/>
      <c r="B502" s="20"/>
      <c r="C502" s="20"/>
      <c r="D502" s="20"/>
      <c r="E502" s="20"/>
      <c r="F502" s="20"/>
      <c r="G502" s="20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2" customHeight="1" x14ac:dyDescent="0.2">
      <c r="A503" s="5"/>
      <c r="B503" s="20"/>
      <c r="C503" s="20"/>
      <c r="D503" s="20"/>
      <c r="E503" s="20"/>
      <c r="F503" s="20"/>
      <c r="G503" s="20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2" customHeight="1" x14ac:dyDescent="0.2">
      <c r="A504" s="5"/>
      <c r="B504" s="20"/>
      <c r="C504" s="20"/>
      <c r="D504" s="20"/>
      <c r="E504" s="20"/>
      <c r="F504" s="20"/>
      <c r="G504" s="20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2" customHeight="1" x14ac:dyDescent="0.2">
      <c r="A505" s="5"/>
      <c r="B505" s="20"/>
      <c r="C505" s="20"/>
      <c r="D505" s="20"/>
      <c r="E505" s="20"/>
      <c r="F505" s="20"/>
      <c r="G505" s="20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2" customHeight="1" x14ac:dyDescent="0.2">
      <c r="A506" s="5"/>
      <c r="B506" s="20"/>
      <c r="C506" s="20"/>
      <c r="D506" s="20"/>
      <c r="E506" s="20"/>
      <c r="F506" s="20"/>
      <c r="G506" s="20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2" customHeight="1" x14ac:dyDescent="0.2">
      <c r="A507" s="5"/>
      <c r="B507" s="20"/>
      <c r="C507" s="20"/>
      <c r="D507" s="20"/>
      <c r="E507" s="20"/>
      <c r="F507" s="20"/>
      <c r="G507" s="20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2" customHeight="1" x14ac:dyDescent="0.2">
      <c r="A508" s="5"/>
      <c r="B508" s="20"/>
      <c r="C508" s="20"/>
      <c r="D508" s="20"/>
      <c r="E508" s="20"/>
      <c r="F508" s="20"/>
      <c r="G508" s="20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2" customHeight="1" x14ac:dyDescent="0.2">
      <c r="A509" s="5"/>
      <c r="B509" s="20"/>
      <c r="C509" s="20"/>
      <c r="D509" s="20"/>
      <c r="E509" s="20"/>
      <c r="F509" s="20"/>
      <c r="G509" s="20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2" customHeight="1" x14ac:dyDescent="0.2">
      <c r="A510" s="5"/>
      <c r="B510" s="20"/>
      <c r="C510" s="20"/>
      <c r="D510" s="20"/>
      <c r="E510" s="20"/>
      <c r="F510" s="20"/>
      <c r="G510" s="20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2" customHeight="1" x14ac:dyDescent="0.2">
      <c r="A511" s="5"/>
      <c r="B511" s="20"/>
      <c r="C511" s="20"/>
      <c r="D511" s="20"/>
      <c r="E511" s="20"/>
      <c r="F511" s="20"/>
      <c r="G511" s="20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2" customHeight="1" x14ac:dyDescent="0.2">
      <c r="A512" s="5"/>
      <c r="B512" s="20"/>
      <c r="C512" s="20"/>
      <c r="D512" s="20"/>
      <c r="E512" s="20"/>
      <c r="F512" s="20"/>
      <c r="G512" s="20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2" customHeight="1" x14ac:dyDescent="0.2">
      <c r="A513" s="5"/>
      <c r="B513" s="20"/>
      <c r="C513" s="20"/>
      <c r="D513" s="20"/>
      <c r="E513" s="20"/>
      <c r="F513" s="20"/>
      <c r="G513" s="20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2" customHeight="1" x14ac:dyDescent="0.2">
      <c r="A514" s="5"/>
      <c r="B514" s="20"/>
      <c r="C514" s="20"/>
      <c r="D514" s="20"/>
      <c r="E514" s="20"/>
      <c r="F514" s="20"/>
      <c r="G514" s="20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2" customHeight="1" x14ac:dyDescent="0.2">
      <c r="A515" s="5"/>
      <c r="B515" s="20"/>
      <c r="C515" s="20"/>
      <c r="D515" s="20"/>
      <c r="E515" s="20"/>
      <c r="F515" s="20"/>
      <c r="G515" s="20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2" customHeight="1" x14ac:dyDescent="0.2">
      <c r="A516" s="5"/>
      <c r="B516" s="20"/>
      <c r="C516" s="20"/>
      <c r="D516" s="20"/>
      <c r="E516" s="20"/>
      <c r="F516" s="20"/>
      <c r="G516" s="20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2" customHeight="1" x14ac:dyDescent="0.2">
      <c r="A517" s="5"/>
      <c r="B517" s="20"/>
      <c r="C517" s="20"/>
      <c r="D517" s="20"/>
      <c r="E517" s="20"/>
      <c r="F517" s="20"/>
      <c r="G517" s="20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2" customHeight="1" x14ac:dyDescent="0.2">
      <c r="A518" s="5"/>
      <c r="B518" s="20"/>
      <c r="C518" s="20"/>
      <c r="D518" s="20"/>
      <c r="E518" s="20"/>
      <c r="F518" s="20"/>
      <c r="G518" s="20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2" customHeight="1" x14ac:dyDescent="0.2">
      <c r="A519" s="5"/>
      <c r="B519" s="20"/>
      <c r="C519" s="20"/>
      <c r="D519" s="20"/>
      <c r="E519" s="20"/>
      <c r="F519" s="20"/>
      <c r="G519" s="20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2" customHeight="1" x14ac:dyDescent="0.2">
      <c r="A520" s="5"/>
      <c r="B520" s="20"/>
      <c r="C520" s="20"/>
      <c r="D520" s="20"/>
      <c r="E520" s="20"/>
      <c r="F520" s="20"/>
      <c r="G520" s="20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2" customHeight="1" x14ac:dyDescent="0.2">
      <c r="A521" s="5"/>
      <c r="B521" s="20"/>
      <c r="C521" s="20"/>
      <c r="D521" s="20"/>
      <c r="E521" s="20"/>
      <c r="F521" s="20"/>
      <c r="G521" s="20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2" customHeight="1" x14ac:dyDescent="0.2">
      <c r="A522" s="5"/>
      <c r="B522" s="20"/>
      <c r="C522" s="20"/>
      <c r="D522" s="20"/>
      <c r="E522" s="20"/>
      <c r="F522" s="20"/>
      <c r="G522" s="20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2" customHeight="1" x14ac:dyDescent="0.2">
      <c r="A523" s="5"/>
      <c r="B523" s="20"/>
      <c r="C523" s="20"/>
      <c r="D523" s="20"/>
      <c r="E523" s="20"/>
      <c r="F523" s="20"/>
      <c r="G523" s="20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2" customHeight="1" x14ac:dyDescent="0.2">
      <c r="A524" s="5"/>
      <c r="B524" s="20"/>
      <c r="C524" s="20"/>
      <c r="D524" s="20"/>
      <c r="E524" s="20"/>
      <c r="F524" s="20"/>
      <c r="G524" s="20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2" customHeight="1" x14ac:dyDescent="0.2">
      <c r="A525" s="5"/>
      <c r="B525" s="20"/>
      <c r="C525" s="20"/>
      <c r="D525" s="20"/>
      <c r="E525" s="20"/>
      <c r="F525" s="20"/>
      <c r="G525" s="20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2" customHeight="1" x14ac:dyDescent="0.2">
      <c r="A526" s="5"/>
      <c r="B526" s="20"/>
      <c r="C526" s="20"/>
      <c r="D526" s="20"/>
      <c r="E526" s="20"/>
      <c r="F526" s="20"/>
      <c r="G526" s="20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2" customHeight="1" x14ac:dyDescent="0.2">
      <c r="A527" s="5"/>
      <c r="B527" s="20"/>
      <c r="C527" s="20"/>
      <c r="D527" s="20"/>
      <c r="E527" s="20"/>
      <c r="F527" s="20"/>
      <c r="G527" s="20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2" customHeight="1" x14ac:dyDescent="0.2">
      <c r="A528" s="5"/>
      <c r="B528" s="20"/>
      <c r="C528" s="20"/>
      <c r="D528" s="20"/>
      <c r="E528" s="20"/>
      <c r="F528" s="20"/>
      <c r="G528" s="20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2" customHeight="1" x14ac:dyDescent="0.2">
      <c r="A529" s="5"/>
      <c r="B529" s="20"/>
      <c r="C529" s="20"/>
      <c r="D529" s="20"/>
      <c r="E529" s="20"/>
      <c r="F529" s="20"/>
      <c r="G529" s="20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2" customHeight="1" x14ac:dyDescent="0.2">
      <c r="A530" s="5"/>
      <c r="B530" s="20"/>
      <c r="C530" s="20"/>
      <c r="D530" s="20"/>
      <c r="E530" s="20"/>
      <c r="F530" s="20"/>
      <c r="G530" s="20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2" customHeight="1" x14ac:dyDescent="0.2">
      <c r="A531" s="5"/>
      <c r="B531" s="20"/>
      <c r="C531" s="20"/>
      <c r="D531" s="20"/>
      <c r="E531" s="20"/>
      <c r="F531" s="20"/>
      <c r="G531" s="20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2" customHeight="1" x14ac:dyDescent="0.2">
      <c r="A532" s="5"/>
      <c r="B532" s="20"/>
      <c r="C532" s="20"/>
      <c r="D532" s="20"/>
      <c r="E532" s="20"/>
      <c r="F532" s="20"/>
      <c r="G532" s="20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2" customHeight="1" x14ac:dyDescent="0.2">
      <c r="A533" s="5"/>
      <c r="B533" s="20"/>
      <c r="C533" s="20"/>
      <c r="D533" s="20"/>
      <c r="E533" s="20"/>
      <c r="F533" s="20"/>
      <c r="G533" s="20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2" customHeight="1" x14ac:dyDescent="0.2">
      <c r="A534" s="5"/>
      <c r="B534" s="20"/>
      <c r="C534" s="20"/>
      <c r="D534" s="20"/>
      <c r="E534" s="20"/>
      <c r="F534" s="20"/>
      <c r="G534" s="20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2" customHeight="1" x14ac:dyDescent="0.2">
      <c r="A535" s="5"/>
      <c r="B535" s="20"/>
      <c r="C535" s="20"/>
      <c r="D535" s="20"/>
      <c r="E535" s="20"/>
      <c r="F535" s="20"/>
      <c r="G535" s="20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2" customHeight="1" x14ac:dyDescent="0.2">
      <c r="A536" s="5"/>
      <c r="B536" s="20"/>
      <c r="C536" s="20"/>
      <c r="D536" s="20"/>
      <c r="E536" s="20"/>
      <c r="F536" s="20"/>
      <c r="G536" s="20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2" customHeight="1" x14ac:dyDescent="0.2">
      <c r="A537" s="5"/>
      <c r="B537" s="20"/>
      <c r="C537" s="20"/>
      <c r="D537" s="20"/>
      <c r="E537" s="20"/>
      <c r="F537" s="20"/>
      <c r="G537" s="20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2" customHeight="1" x14ac:dyDescent="0.2">
      <c r="A538" s="5"/>
      <c r="B538" s="20"/>
      <c r="C538" s="20"/>
      <c r="D538" s="20"/>
      <c r="E538" s="20"/>
      <c r="F538" s="20"/>
      <c r="G538" s="20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2" customHeight="1" x14ac:dyDescent="0.2">
      <c r="A539" s="5"/>
      <c r="B539" s="20"/>
      <c r="C539" s="20"/>
      <c r="D539" s="20"/>
      <c r="E539" s="20"/>
      <c r="F539" s="20"/>
      <c r="G539" s="20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2" customHeight="1" x14ac:dyDescent="0.2">
      <c r="A540" s="5"/>
      <c r="B540" s="20"/>
      <c r="C540" s="20"/>
      <c r="D540" s="20"/>
      <c r="E540" s="20"/>
      <c r="F540" s="20"/>
      <c r="G540" s="20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2" customHeight="1" x14ac:dyDescent="0.2">
      <c r="A541" s="5"/>
      <c r="B541" s="20"/>
      <c r="C541" s="20"/>
      <c r="D541" s="20"/>
      <c r="E541" s="20"/>
      <c r="F541" s="20"/>
      <c r="G541" s="20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2" customHeight="1" x14ac:dyDescent="0.2">
      <c r="A542" s="5"/>
      <c r="B542" s="20"/>
      <c r="C542" s="20"/>
      <c r="D542" s="20"/>
      <c r="E542" s="20"/>
      <c r="F542" s="20"/>
      <c r="G542" s="20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2" customHeight="1" x14ac:dyDescent="0.2">
      <c r="A543" s="5"/>
      <c r="B543" s="20"/>
      <c r="C543" s="20"/>
      <c r="D543" s="20"/>
      <c r="E543" s="20"/>
      <c r="F543" s="20"/>
      <c r="G543" s="20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2" customHeight="1" x14ac:dyDescent="0.2">
      <c r="A544" s="5"/>
      <c r="B544" s="20"/>
      <c r="C544" s="20"/>
      <c r="D544" s="20"/>
      <c r="E544" s="20"/>
      <c r="F544" s="20"/>
      <c r="G544" s="20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2" customHeight="1" x14ac:dyDescent="0.2">
      <c r="A545" s="5"/>
      <c r="B545" s="20"/>
      <c r="C545" s="20"/>
      <c r="D545" s="20"/>
      <c r="E545" s="20"/>
      <c r="F545" s="20"/>
      <c r="G545" s="20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2" customHeight="1" x14ac:dyDescent="0.2">
      <c r="A546" s="5"/>
      <c r="B546" s="20"/>
      <c r="C546" s="20"/>
      <c r="D546" s="20"/>
      <c r="E546" s="20"/>
      <c r="F546" s="20"/>
      <c r="G546" s="20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2" customHeight="1" x14ac:dyDescent="0.2">
      <c r="A547" s="5"/>
      <c r="B547" s="20"/>
      <c r="C547" s="20"/>
      <c r="D547" s="20"/>
      <c r="E547" s="20"/>
      <c r="F547" s="20"/>
      <c r="G547" s="20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2" customHeight="1" x14ac:dyDescent="0.2">
      <c r="A548" s="5"/>
      <c r="B548" s="20"/>
      <c r="C548" s="20"/>
      <c r="D548" s="20"/>
      <c r="E548" s="20"/>
      <c r="F548" s="20"/>
      <c r="G548" s="20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2" customHeight="1" x14ac:dyDescent="0.2">
      <c r="A549" s="5"/>
      <c r="B549" s="20"/>
      <c r="C549" s="20"/>
      <c r="D549" s="20"/>
      <c r="E549" s="20"/>
      <c r="F549" s="20"/>
      <c r="G549" s="20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2" customHeight="1" x14ac:dyDescent="0.2">
      <c r="A550" s="5"/>
      <c r="B550" s="20"/>
      <c r="C550" s="20"/>
      <c r="D550" s="20"/>
      <c r="E550" s="20"/>
      <c r="F550" s="20"/>
      <c r="G550" s="20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2" customHeight="1" x14ac:dyDescent="0.2">
      <c r="A551" s="5"/>
      <c r="B551" s="20"/>
      <c r="C551" s="20"/>
      <c r="D551" s="20"/>
      <c r="E551" s="20"/>
      <c r="F551" s="20"/>
      <c r="G551" s="20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2" customHeight="1" x14ac:dyDescent="0.2">
      <c r="A552" s="5"/>
      <c r="B552" s="20"/>
      <c r="C552" s="20"/>
      <c r="D552" s="20"/>
      <c r="E552" s="20"/>
      <c r="F552" s="20"/>
      <c r="G552" s="20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2" customHeight="1" x14ac:dyDescent="0.2">
      <c r="A553" s="5"/>
      <c r="B553" s="20"/>
      <c r="C553" s="20"/>
      <c r="D553" s="20"/>
      <c r="E553" s="20"/>
      <c r="F553" s="20"/>
      <c r="G553" s="20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2" customHeight="1" x14ac:dyDescent="0.2">
      <c r="A554" s="5"/>
      <c r="B554" s="20"/>
      <c r="C554" s="20"/>
      <c r="D554" s="20"/>
      <c r="E554" s="20"/>
      <c r="F554" s="20"/>
      <c r="G554" s="20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2" customHeight="1" x14ac:dyDescent="0.2">
      <c r="A555" s="5"/>
      <c r="B555" s="20"/>
      <c r="C555" s="20"/>
      <c r="D555" s="20"/>
      <c r="E555" s="20"/>
      <c r="F555" s="20"/>
      <c r="G555" s="20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2" customHeight="1" x14ac:dyDescent="0.2">
      <c r="A556" s="5"/>
      <c r="B556" s="20"/>
      <c r="C556" s="20"/>
      <c r="D556" s="20"/>
      <c r="E556" s="20"/>
      <c r="F556" s="20"/>
      <c r="G556" s="20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2" customHeight="1" x14ac:dyDescent="0.2">
      <c r="A557" s="5"/>
      <c r="B557" s="20"/>
      <c r="C557" s="20"/>
      <c r="D557" s="20"/>
      <c r="E557" s="20"/>
      <c r="F557" s="20"/>
      <c r="G557" s="20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2" customHeight="1" x14ac:dyDescent="0.2">
      <c r="A558" s="5"/>
      <c r="B558" s="20"/>
      <c r="C558" s="20"/>
      <c r="D558" s="20"/>
      <c r="E558" s="20"/>
      <c r="F558" s="20"/>
      <c r="G558" s="20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2" customHeight="1" x14ac:dyDescent="0.2">
      <c r="A559" s="5"/>
      <c r="B559" s="20"/>
      <c r="C559" s="20"/>
      <c r="D559" s="20"/>
      <c r="E559" s="20"/>
      <c r="F559" s="20"/>
      <c r="G559" s="20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2" customHeight="1" x14ac:dyDescent="0.2">
      <c r="A560" s="5"/>
      <c r="B560" s="20"/>
      <c r="C560" s="20"/>
      <c r="D560" s="20"/>
      <c r="E560" s="20"/>
      <c r="F560" s="20"/>
      <c r="G560" s="20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2" customHeight="1" x14ac:dyDescent="0.2">
      <c r="A561" s="5"/>
      <c r="B561" s="20"/>
      <c r="C561" s="20"/>
      <c r="D561" s="20"/>
      <c r="E561" s="20"/>
      <c r="F561" s="20"/>
      <c r="G561" s="20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2" customHeight="1" x14ac:dyDescent="0.2">
      <c r="A562" s="5"/>
      <c r="B562" s="20"/>
      <c r="C562" s="20"/>
      <c r="D562" s="20"/>
      <c r="E562" s="20"/>
      <c r="F562" s="20"/>
      <c r="G562" s="20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2" customHeight="1" x14ac:dyDescent="0.2">
      <c r="A563" s="5"/>
      <c r="B563" s="20"/>
      <c r="C563" s="20"/>
      <c r="D563" s="20"/>
      <c r="E563" s="20"/>
      <c r="F563" s="20"/>
      <c r="G563" s="20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2" customHeight="1" x14ac:dyDescent="0.2">
      <c r="A564" s="5"/>
      <c r="B564" s="20"/>
      <c r="C564" s="20"/>
      <c r="D564" s="20"/>
      <c r="E564" s="20"/>
      <c r="F564" s="20"/>
      <c r="G564" s="20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2" customHeight="1" x14ac:dyDescent="0.2">
      <c r="A565" s="5"/>
      <c r="B565" s="20"/>
      <c r="C565" s="20"/>
      <c r="D565" s="20"/>
      <c r="E565" s="20"/>
      <c r="F565" s="20"/>
      <c r="G565" s="20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2" customHeight="1" x14ac:dyDescent="0.2">
      <c r="A566" s="5"/>
      <c r="B566" s="20"/>
      <c r="C566" s="20"/>
      <c r="D566" s="20"/>
      <c r="E566" s="20"/>
      <c r="F566" s="20"/>
      <c r="G566" s="20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2" customHeight="1" x14ac:dyDescent="0.2">
      <c r="A567" s="5"/>
      <c r="B567" s="20"/>
      <c r="C567" s="20"/>
      <c r="D567" s="20"/>
      <c r="E567" s="20"/>
      <c r="F567" s="20"/>
      <c r="G567" s="20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2" customHeight="1" x14ac:dyDescent="0.2">
      <c r="A568" s="5"/>
      <c r="B568" s="20"/>
      <c r="C568" s="20"/>
      <c r="D568" s="20"/>
      <c r="E568" s="20"/>
      <c r="F568" s="20"/>
      <c r="G568" s="20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2" customHeight="1" x14ac:dyDescent="0.2">
      <c r="A569" s="5"/>
      <c r="B569" s="20"/>
      <c r="C569" s="20"/>
      <c r="D569" s="20"/>
      <c r="E569" s="20"/>
      <c r="F569" s="20"/>
      <c r="G569" s="20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2" customHeight="1" x14ac:dyDescent="0.2">
      <c r="A570" s="5"/>
      <c r="B570" s="20"/>
      <c r="C570" s="20"/>
      <c r="D570" s="20"/>
      <c r="E570" s="20"/>
      <c r="F570" s="20"/>
      <c r="G570" s="20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2" customHeight="1" x14ac:dyDescent="0.2">
      <c r="A571" s="5"/>
      <c r="B571" s="20"/>
      <c r="C571" s="20"/>
      <c r="D571" s="20"/>
      <c r="E571" s="20"/>
      <c r="F571" s="20"/>
      <c r="G571" s="20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2" customHeight="1" x14ac:dyDescent="0.2">
      <c r="A572" s="5"/>
      <c r="B572" s="20"/>
      <c r="C572" s="20"/>
      <c r="D572" s="20"/>
      <c r="E572" s="20"/>
      <c r="F572" s="20"/>
      <c r="G572" s="20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2" customHeight="1" x14ac:dyDescent="0.2">
      <c r="A573" s="5"/>
      <c r="B573" s="20"/>
      <c r="C573" s="20"/>
      <c r="D573" s="20"/>
      <c r="E573" s="20"/>
      <c r="F573" s="20"/>
      <c r="G573" s="20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2" customHeight="1" x14ac:dyDescent="0.2">
      <c r="A574" s="5"/>
      <c r="B574" s="20"/>
      <c r="C574" s="20"/>
      <c r="D574" s="20"/>
      <c r="E574" s="20"/>
      <c r="F574" s="20"/>
      <c r="G574" s="20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2" customHeight="1" x14ac:dyDescent="0.2">
      <c r="A575" s="5"/>
      <c r="B575" s="20"/>
      <c r="C575" s="20"/>
      <c r="D575" s="20"/>
      <c r="E575" s="20"/>
      <c r="F575" s="20"/>
      <c r="G575" s="20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2" customHeight="1" x14ac:dyDescent="0.2">
      <c r="A576" s="5"/>
      <c r="B576" s="20"/>
      <c r="C576" s="20"/>
      <c r="D576" s="20"/>
      <c r="E576" s="20"/>
      <c r="F576" s="20"/>
      <c r="G576" s="20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2" customHeight="1" x14ac:dyDescent="0.2">
      <c r="A577" s="5"/>
      <c r="B577" s="20"/>
      <c r="C577" s="20"/>
      <c r="D577" s="20"/>
      <c r="E577" s="20"/>
      <c r="F577" s="20"/>
      <c r="G577" s="20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2" customHeight="1" x14ac:dyDescent="0.2">
      <c r="A578" s="5"/>
      <c r="B578" s="20"/>
      <c r="C578" s="20"/>
      <c r="D578" s="20"/>
      <c r="E578" s="20"/>
      <c r="F578" s="20"/>
      <c r="G578" s="20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2" customHeight="1" x14ac:dyDescent="0.2">
      <c r="A579" s="5"/>
      <c r="B579" s="20"/>
      <c r="C579" s="20"/>
      <c r="D579" s="20"/>
      <c r="E579" s="20"/>
      <c r="F579" s="20"/>
      <c r="G579" s="20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2" customHeight="1" x14ac:dyDescent="0.2">
      <c r="A580" s="5"/>
      <c r="B580" s="20"/>
      <c r="C580" s="20"/>
      <c r="D580" s="20"/>
      <c r="E580" s="20"/>
      <c r="F580" s="20"/>
      <c r="G580" s="20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2" customHeight="1" x14ac:dyDescent="0.2">
      <c r="A581" s="5"/>
      <c r="B581" s="20"/>
      <c r="C581" s="20"/>
      <c r="D581" s="20"/>
      <c r="E581" s="20"/>
      <c r="F581" s="20"/>
      <c r="G581" s="20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2" customHeight="1" x14ac:dyDescent="0.2">
      <c r="A582" s="5"/>
      <c r="B582" s="20"/>
      <c r="C582" s="20"/>
      <c r="D582" s="20"/>
      <c r="E582" s="20"/>
      <c r="F582" s="20"/>
      <c r="G582" s="2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2" customHeight="1" x14ac:dyDescent="0.2">
      <c r="A583" s="5"/>
      <c r="B583" s="20"/>
      <c r="C583" s="20"/>
      <c r="D583" s="20"/>
      <c r="E583" s="20"/>
      <c r="F583" s="20"/>
      <c r="G583" s="20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2" customHeight="1" x14ac:dyDescent="0.2">
      <c r="A584" s="5"/>
      <c r="B584" s="20"/>
      <c r="C584" s="20"/>
      <c r="D584" s="20"/>
      <c r="E584" s="20"/>
      <c r="F584" s="20"/>
      <c r="G584" s="20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2" customHeight="1" x14ac:dyDescent="0.2">
      <c r="A585" s="5"/>
      <c r="B585" s="20"/>
      <c r="C585" s="20"/>
      <c r="D585" s="20"/>
      <c r="E585" s="20"/>
      <c r="F585" s="20"/>
      <c r="G585" s="20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2" customHeight="1" x14ac:dyDescent="0.2">
      <c r="A586" s="5"/>
      <c r="B586" s="20"/>
      <c r="C586" s="20"/>
      <c r="D586" s="20"/>
      <c r="E586" s="20"/>
      <c r="F586" s="20"/>
      <c r="G586" s="20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2" customHeight="1" x14ac:dyDescent="0.2">
      <c r="A587" s="5"/>
      <c r="B587" s="20"/>
      <c r="C587" s="20"/>
      <c r="D587" s="20"/>
      <c r="E587" s="20"/>
      <c r="F587" s="20"/>
      <c r="G587" s="20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2" customHeight="1" x14ac:dyDescent="0.2">
      <c r="A588" s="5"/>
      <c r="B588" s="20"/>
      <c r="C588" s="20"/>
      <c r="D588" s="20"/>
      <c r="E588" s="20"/>
      <c r="F588" s="20"/>
      <c r="G588" s="20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2" customHeight="1" x14ac:dyDescent="0.2">
      <c r="A589" s="5"/>
      <c r="B589" s="20"/>
      <c r="C589" s="20"/>
      <c r="D589" s="20"/>
      <c r="E589" s="20"/>
      <c r="F589" s="20"/>
      <c r="G589" s="20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2" customHeight="1" x14ac:dyDescent="0.2">
      <c r="A590" s="5"/>
      <c r="B590" s="20"/>
      <c r="C590" s="20"/>
      <c r="D590" s="20"/>
      <c r="E590" s="20"/>
      <c r="F590" s="20"/>
      <c r="G590" s="2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2" customHeight="1" x14ac:dyDescent="0.2">
      <c r="A591" s="5"/>
      <c r="B591" s="20"/>
      <c r="C591" s="20"/>
      <c r="D591" s="20"/>
      <c r="E591" s="20"/>
      <c r="F591" s="20"/>
      <c r="G591" s="20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2" customHeight="1" x14ac:dyDescent="0.2">
      <c r="A592" s="5"/>
      <c r="B592" s="20"/>
      <c r="C592" s="20"/>
      <c r="D592" s="20"/>
      <c r="E592" s="20"/>
      <c r="F592" s="20"/>
      <c r="G592" s="20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2" customHeight="1" x14ac:dyDescent="0.2">
      <c r="A593" s="5"/>
      <c r="B593" s="20"/>
      <c r="C593" s="20"/>
      <c r="D593" s="20"/>
      <c r="E593" s="20"/>
      <c r="F593" s="20"/>
      <c r="G593" s="20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2" customHeight="1" x14ac:dyDescent="0.2">
      <c r="A594" s="5"/>
      <c r="B594" s="20"/>
      <c r="C594" s="20"/>
      <c r="D594" s="20"/>
      <c r="E594" s="20"/>
      <c r="F594" s="20"/>
      <c r="G594" s="20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2" customHeight="1" x14ac:dyDescent="0.2">
      <c r="A595" s="5"/>
      <c r="B595" s="20"/>
      <c r="C595" s="20"/>
      <c r="D595" s="20"/>
      <c r="E595" s="20"/>
      <c r="F595" s="20"/>
      <c r="G595" s="20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2" customHeight="1" x14ac:dyDescent="0.2">
      <c r="A596" s="5"/>
      <c r="B596" s="20"/>
      <c r="C596" s="20"/>
      <c r="D596" s="20"/>
      <c r="E596" s="20"/>
      <c r="F596" s="20"/>
      <c r="G596" s="20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2" customHeight="1" x14ac:dyDescent="0.2">
      <c r="A597" s="5"/>
      <c r="B597" s="20"/>
      <c r="C597" s="20"/>
      <c r="D597" s="20"/>
      <c r="E597" s="20"/>
      <c r="F597" s="20"/>
      <c r="G597" s="20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2" customHeight="1" x14ac:dyDescent="0.2">
      <c r="A598" s="5"/>
      <c r="B598" s="20"/>
      <c r="C598" s="20"/>
      <c r="D598" s="20"/>
      <c r="E598" s="20"/>
      <c r="F598" s="20"/>
      <c r="G598" s="20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2" customHeight="1" x14ac:dyDescent="0.2">
      <c r="A599" s="5"/>
      <c r="B599" s="20"/>
      <c r="C599" s="20"/>
      <c r="D599" s="20"/>
      <c r="E599" s="20"/>
      <c r="F599" s="20"/>
      <c r="G599" s="20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2" customHeight="1" x14ac:dyDescent="0.2">
      <c r="A600" s="5"/>
      <c r="B600" s="20"/>
      <c r="C600" s="20"/>
      <c r="D600" s="20"/>
      <c r="E600" s="20"/>
      <c r="F600" s="20"/>
      <c r="G600" s="20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2" customHeight="1" x14ac:dyDescent="0.2">
      <c r="A601" s="5"/>
      <c r="B601" s="20"/>
      <c r="C601" s="20"/>
      <c r="D601" s="20"/>
      <c r="E601" s="20"/>
      <c r="F601" s="20"/>
      <c r="G601" s="20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2" customHeight="1" x14ac:dyDescent="0.2">
      <c r="A602" s="5"/>
      <c r="B602" s="20"/>
      <c r="C602" s="20"/>
      <c r="D602" s="20"/>
      <c r="E602" s="20"/>
      <c r="F602" s="20"/>
      <c r="G602" s="20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2" customHeight="1" x14ac:dyDescent="0.2">
      <c r="A603" s="5"/>
      <c r="B603" s="20"/>
      <c r="C603" s="20"/>
      <c r="D603" s="20"/>
      <c r="E603" s="20"/>
      <c r="F603" s="20"/>
      <c r="G603" s="20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2" customHeight="1" x14ac:dyDescent="0.2">
      <c r="A604" s="5"/>
      <c r="B604" s="20"/>
      <c r="C604" s="20"/>
      <c r="D604" s="20"/>
      <c r="E604" s="20"/>
      <c r="F604" s="20"/>
      <c r="G604" s="20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2" customHeight="1" x14ac:dyDescent="0.2">
      <c r="A605" s="5"/>
      <c r="B605" s="20"/>
      <c r="C605" s="20"/>
      <c r="D605" s="20"/>
      <c r="E605" s="20"/>
      <c r="F605" s="20"/>
      <c r="G605" s="20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2" customHeight="1" x14ac:dyDescent="0.2">
      <c r="A606" s="5"/>
      <c r="B606" s="20"/>
      <c r="C606" s="20"/>
      <c r="D606" s="20"/>
      <c r="E606" s="20"/>
      <c r="F606" s="20"/>
      <c r="G606" s="20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2" customHeight="1" x14ac:dyDescent="0.2">
      <c r="A607" s="5"/>
      <c r="B607" s="20"/>
      <c r="C607" s="20"/>
      <c r="D607" s="20"/>
      <c r="E607" s="20"/>
      <c r="F607" s="20"/>
      <c r="G607" s="20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2" customHeight="1" x14ac:dyDescent="0.2">
      <c r="A608" s="5"/>
      <c r="B608" s="20"/>
      <c r="C608" s="20"/>
      <c r="D608" s="20"/>
      <c r="E608" s="20"/>
      <c r="F608" s="20"/>
      <c r="G608" s="20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2" customHeight="1" x14ac:dyDescent="0.2">
      <c r="A609" s="5"/>
      <c r="B609" s="20"/>
      <c r="C609" s="20"/>
      <c r="D609" s="20"/>
      <c r="E609" s="20"/>
      <c r="F609" s="20"/>
      <c r="G609" s="20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2" customHeight="1" x14ac:dyDescent="0.2">
      <c r="A610" s="5"/>
      <c r="B610" s="20"/>
      <c r="C610" s="20"/>
      <c r="D610" s="20"/>
      <c r="E610" s="20"/>
      <c r="F610" s="20"/>
      <c r="G610" s="20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2" customHeight="1" x14ac:dyDescent="0.2">
      <c r="A611" s="5"/>
      <c r="B611" s="20"/>
      <c r="C611" s="20"/>
      <c r="D611" s="20"/>
      <c r="E611" s="20"/>
      <c r="F611" s="20"/>
      <c r="G611" s="20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2" customHeight="1" x14ac:dyDescent="0.2">
      <c r="A612" s="5"/>
      <c r="B612" s="20"/>
      <c r="C612" s="20"/>
      <c r="D612" s="20"/>
      <c r="E612" s="20"/>
      <c r="F612" s="20"/>
      <c r="G612" s="20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2" customHeight="1" x14ac:dyDescent="0.2">
      <c r="A613" s="5"/>
      <c r="B613" s="20"/>
      <c r="C613" s="20"/>
      <c r="D613" s="20"/>
      <c r="E613" s="20"/>
      <c r="F613" s="20"/>
      <c r="G613" s="20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2" customHeight="1" x14ac:dyDescent="0.2">
      <c r="A614" s="5"/>
      <c r="B614" s="20"/>
      <c r="C614" s="20"/>
      <c r="D614" s="20"/>
      <c r="E614" s="20"/>
      <c r="F614" s="20"/>
      <c r="G614" s="20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2" customHeight="1" x14ac:dyDescent="0.2">
      <c r="A615" s="5"/>
      <c r="B615" s="20"/>
      <c r="C615" s="20"/>
      <c r="D615" s="20"/>
      <c r="E615" s="20"/>
      <c r="F615" s="20"/>
      <c r="G615" s="20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2" customHeight="1" x14ac:dyDescent="0.2">
      <c r="A616" s="5"/>
      <c r="B616" s="20"/>
      <c r="C616" s="20"/>
      <c r="D616" s="20"/>
      <c r="E616" s="20"/>
      <c r="F616" s="20"/>
      <c r="G616" s="20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2" customHeight="1" x14ac:dyDescent="0.2">
      <c r="A617" s="5"/>
      <c r="B617" s="20"/>
      <c r="C617" s="20"/>
      <c r="D617" s="20"/>
      <c r="E617" s="20"/>
      <c r="F617" s="20"/>
      <c r="G617" s="20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2" customHeight="1" x14ac:dyDescent="0.2">
      <c r="A618" s="5"/>
      <c r="B618" s="20"/>
      <c r="C618" s="20"/>
      <c r="D618" s="20"/>
      <c r="E618" s="20"/>
      <c r="F618" s="20"/>
      <c r="G618" s="20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2" customHeight="1" x14ac:dyDescent="0.2">
      <c r="A619" s="5"/>
      <c r="B619" s="20"/>
      <c r="C619" s="20"/>
      <c r="D619" s="20"/>
      <c r="E619" s="20"/>
      <c r="F619" s="20"/>
      <c r="G619" s="20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2" customHeight="1" x14ac:dyDescent="0.2">
      <c r="A620" s="5"/>
      <c r="B620" s="20"/>
      <c r="C620" s="20"/>
      <c r="D620" s="20"/>
      <c r="E620" s="20"/>
      <c r="F620" s="20"/>
      <c r="G620" s="20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2" customHeight="1" x14ac:dyDescent="0.2">
      <c r="A621" s="5"/>
      <c r="B621" s="20"/>
      <c r="C621" s="20"/>
      <c r="D621" s="20"/>
      <c r="E621" s="20"/>
      <c r="F621" s="20"/>
      <c r="G621" s="20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2" customHeight="1" x14ac:dyDescent="0.2">
      <c r="A622" s="5"/>
      <c r="B622" s="20"/>
      <c r="C622" s="20"/>
      <c r="D622" s="20"/>
      <c r="E622" s="20"/>
      <c r="F622" s="20"/>
      <c r="G622" s="20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2" customHeight="1" x14ac:dyDescent="0.2">
      <c r="A623" s="5"/>
      <c r="B623" s="20"/>
      <c r="C623" s="20"/>
      <c r="D623" s="20"/>
      <c r="E623" s="20"/>
      <c r="F623" s="20"/>
      <c r="G623" s="20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2" customHeight="1" x14ac:dyDescent="0.2">
      <c r="A624" s="5"/>
      <c r="B624" s="20"/>
      <c r="C624" s="20"/>
      <c r="D624" s="20"/>
      <c r="E624" s="20"/>
      <c r="F624" s="20"/>
      <c r="G624" s="20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2" customHeight="1" x14ac:dyDescent="0.2">
      <c r="A625" s="5"/>
      <c r="B625" s="20"/>
      <c r="C625" s="20"/>
      <c r="D625" s="20"/>
      <c r="E625" s="20"/>
      <c r="F625" s="20"/>
      <c r="G625" s="20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2" customHeight="1" x14ac:dyDescent="0.2">
      <c r="A626" s="5"/>
      <c r="B626" s="20"/>
      <c r="C626" s="20"/>
      <c r="D626" s="20"/>
      <c r="E626" s="20"/>
      <c r="F626" s="20"/>
      <c r="G626" s="20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2" customHeight="1" x14ac:dyDescent="0.2">
      <c r="A627" s="5"/>
      <c r="B627" s="20"/>
      <c r="C627" s="20"/>
      <c r="D627" s="20"/>
      <c r="E627" s="20"/>
      <c r="F627" s="20"/>
      <c r="G627" s="20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2" customHeight="1" x14ac:dyDescent="0.2">
      <c r="A628" s="5"/>
      <c r="B628" s="20"/>
      <c r="C628" s="20"/>
      <c r="D628" s="20"/>
      <c r="E628" s="20"/>
      <c r="F628" s="20"/>
      <c r="G628" s="20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2" customHeight="1" x14ac:dyDescent="0.2">
      <c r="A629" s="5"/>
      <c r="B629" s="20"/>
      <c r="C629" s="20"/>
      <c r="D629" s="20"/>
      <c r="E629" s="20"/>
      <c r="F629" s="20"/>
      <c r="G629" s="20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2" customHeight="1" x14ac:dyDescent="0.2">
      <c r="A630" s="5"/>
      <c r="B630" s="20"/>
      <c r="C630" s="20"/>
      <c r="D630" s="20"/>
      <c r="E630" s="20"/>
      <c r="F630" s="20"/>
      <c r="G630" s="20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2" customHeight="1" x14ac:dyDescent="0.2">
      <c r="A631" s="5"/>
      <c r="B631" s="20"/>
      <c r="C631" s="20"/>
      <c r="D631" s="20"/>
      <c r="E631" s="20"/>
      <c r="F631" s="20"/>
      <c r="G631" s="20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2" customHeight="1" x14ac:dyDescent="0.2">
      <c r="A632" s="5"/>
      <c r="B632" s="20"/>
      <c r="C632" s="20"/>
      <c r="D632" s="20"/>
      <c r="E632" s="20"/>
      <c r="F632" s="20"/>
      <c r="G632" s="20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2" customHeight="1" x14ac:dyDescent="0.2">
      <c r="A633" s="5"/>
      <c r="B633" s="20"/>
      <c r="C633" s="20"/>
      <c r="D633" s="20"/>
      <c r="E633" s="20"/>
      <c r="F633" s="20"/>
      <c r="G633" s="20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2" customHeight="1" x14ac:dyDescent="0.2">
      <c r="A634" s="5"/>
      <c r="B634" s="20"/>
      <c r="C634" s="20"/>
      <c r="D634" s="20"/>
      <c r="E634" s="20"/>
      <c r="F634" s="20"/>
      <c r="G634" s="20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2" customHeight="1" x14ac:dyDescent="0.2">
      <c r="A635" s="5"/>
      <c r="B635" s="20"/>
      <c r="C635" s="20"/>
      <c r="D635" s="20"/>
      <c r="E635" s="20"/>
      <c r="F635" s="20"/>
      <c r="G635" s="20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2" customHeight="1" x14ac:dyDescent="0.2">
      <c r="A636" s="5"/>
      <c r="B636" s="20"/>
      <c r="C636" s="20"/>
      <c r="D636" s="20"/>
      <c r="E636" s="20"/>
      <c r="F636" s="20"/>
      <c r="G636" s="20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2" customHeight="1" x14ac:dyDescent="0.2">
      <c r="A637" s="5"/>
      <c r="B637" s="20"/>
      <c r="C637" s="20"/>
      <c r="D637" s="20"/>
      <c r="E637" s="20"/>
      <c r="F637" s="20"/>
      <c r="G637" s="20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2" customHeight="1" x14ac:dyDescent="0.2">
      <c r="A638" s="5"/>
      <c r="B638" s="20"/>
      <c r="C638" s="20"/>
      <c r="D638" s="20"/>
      <c r="E638" s="20"/>
      <c r="F638" s="20"/>
      <c r="G638" s="20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2" customHeight="1" x14ac:dyDescent="0.2">
      <c r="A639" s="5"/>
      <c r="B639" s="20"/>
      <c r="C639" s="20"/>
      <c r="D639" s="20"/>
      <c r="E639" s="20"/>
      <c r="F639" s="20"/>
      <c r="G639" s="20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2" customHeight="1" x14ac:dyDescent="0.2">
      <c r="A640" s="5"/>
      <c r="B640" s="20"/>
      <c r="C640" s="20"/>
      <c r="D640" s="20"/>
      <c r="E640" s="20"/>
      <c r="F640" s="20"/>
      <c r="G640" s="20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2" customHeight="1" x14ac:dyDescent="0.2">
      <c r="A641" s="5"/>
      <c r="B641" s="20"/>
      <c r="C641" s="20"/>
      <c r="D641" s="20"/>
      <c r="E641" s="20"/>
      <c r="F641" s="20"/>
      <c r="G641" s="20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2" customHeight="1" x14ac:dyDescent="0.2">
      <c r="A642" s="5"/>
      <c r="B642" s="20"/>
      <c r="C642" s="20"/>
      <c r="D642" s="20"/>
      <c r="E642" s="20"/>
      <c r="F642" s="20"/>
      <c r="G642" s="20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2" customHeight="1" x14ac:dyDescent="0.2">
      <c r="A643" s="5"/>
      <c r="B643" s="20"/>
      <c r="C643" s="20"/>
      <c r="D643" s="20"/>
      <c r="E643" s="20"/>
      <c r="F643" s="20"/>
      <c r="G643" s="20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2" customHeight="1" x14ac:dyDescent="0.2">
      <c r="A644" s="5"/>
      <c r="B644" s="20"/>
      <c r="C644" s="20"/>
      <c r="D644" s="20"/>
      <c r="E644" s="20"/>
      <c r="F644" s="20"/>
      <c r="G644" s="20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2" customHeight="1" x14ac:dyDescent="0.2">
      <c r="A645" s="5"/>
      <c r="B645" s="20"/>
      <c r="C645" s="20"/>
      <c r="D645" s="20"/>
      <c r="E645" s="20"/>
      <c r="F645" s="20"/>
      <c r="G645" s="20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2" customHeight="1" x14ac:dyDescent="0.2">
      <c r="A646" s="5"/>
      <c r="B646" s="20"/>
      <c r="C646" s="20"/>
      <c r="D646" s="20"/>
      <c r="E646" s="20"/>
      <c r="F646" s="20"/>
      <c r="G646" s="20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2" customHeight="1" x14ac:dyDescent="0.2">
      <c r="A647" s="5"/>
      <c r="B647" s="20"/>
      <c r="C647" s="20"/>
      <c r="D647" s="20"/>
      <c r="E647" s="20"/>
      <c r="F647" s="20"/>
      <c r="G647" s="20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2" customHeight="1" x14ac:dyDescent="0.2">
      <c r="A648" s="5"/>
      <c r="B648" s="20"/>
      <c r="C648" s="20"/>
      <c r="D648" s="20"/>
      <c r="E648" s="20"/>
      <c r="F648" s="20"/>
      <c r="G648" s="20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2" customHeight="1" x14ac:dyDescent="0.2">
      <c r="A649" s="5"/>
      <c r="B649" s="20"/>
      <c r="C649" s="20"/>
      <c r="D649" s="20"/>
      <c r="E649" s="20"/>
      <c r="F649" s="20"/>
      <c r="G649" s="20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2" customHeight="1" x14ac:dyDescent="0.2">
      <c r="A650" s="5"/>
      <c r="B650" s="20"/>
      <c r="C650" s="20"/>
      <c r="D650" s="20"/>
      <c r="E650" s="20"/>
      <c r="F650" s="20"/>
      <c r="G650" s="20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2" customHeight="1" x14ac:dyDescent="0.2">
      <c r="A651" s="5"/>
      <c r="B651" s="20"/>
      <c r="C651" s="20"/>
      <c r="D651" s="20"/>
      <c r="E651" s="20"/>
      <c r="F651" s="20"/>
      <c r="G651" s="20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2" customHeight="1" x14ac:dyDescent="0.2">
      <c r="A652" s="5"/>
      <c r="B652" s="20"/>
      <c r="C652" s="20"/>
      <c r="D652" s="20"/>
      <c r="E652" s="20"/>
      <c r="F652" s="20"/>
      <c r="G652" s="20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2" customHeight="1" x14ac:dyDescent="0.2">
      <c r="A653" s="5"/>
      <c r="B653" s="20"/>
      <c r="C653" s="20"/>
      <c r="D653" s="20"/>
      <c r="E653" s="20"/>
      <c r="F653" s="20"/>
      <c r="G653" s="20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2" customHeight="1" x14ac:dyDescent="0.2">
      <c r="A654" s="5"/>
      <c r="B654" s="20"/>
      <c r="C654" s="20"/>
      <c r="D654" s="20"/>
      <c r="E654" s="20"/>
      <c r="F654" s="20"/>
      <c r="G654" s="20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2" customHeight="1" x14ac:dyDescent="0.2">
      <c r="A655" s="5"/>
      <c r="B655" s="20"/>
      <c r="C655" s="20"/>
      <c r="D655" s="20"/>
      <c r="E655" s="20"/>
      <c r="F655" s="20"/>
      <c r="G655" s="20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2" customHeight="1" x14ac:dyDescent="0.2">
      <c r="A656" s="5"/>
      <c r="B656" s="20"/>
      <c r="C656" s="20"/>
      <c r="D656" s="20"/>
      <c r="E656" s="20"/>
      <c r="F656" s="20"/>
      <c r="G656" s="20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2" customHeight="1" x14ac:dyDescent="0.2">
      <c r="A657" s="5"/>
      <c r="B657" s="20"/>
      <c r="C657" s="20"/>
      <c r="D657" s="20"/>
      <c r="E657" s="20"/>
      <c r="F657" s="20"/>
      <c r="G657" s="20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2" customHeight="1" x14ac:dyDescent="0.2">
      <c r="A658" s="5"/>
      <c r="B658" s="20"/>
      <c r="C658" s="20"/>
      <c r="D658" s="20"/>
      <c r="E658" s="20"/>
      <c r="F658" s="20"/>
      <c r="G658" s="20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2" customHeight="1" x14ac:dyDescent="0.2">
      <c r="A659" s="5"/>
      <c r="B659" s="20"/>
      <c r="C659" s="20"/>
      <c r="D659" s="20"/>
      <c r="E659" s="20"/>
      <c r="F659" s="20"/>
      <c r="G659" s="20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2" customHeight="1" x14ac:dyDescent="0.2">
      <c r="A660" s="5"/>
      <c r="B660" s="20"/>
      <c r="C660" s="20"/>
      <c r="D660" s="20"/>
      <c r="E660" s="20"/>
      <c r="F660" s="20"/>
      <c r="G660" s="20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2" customHeight="1" x14ac:dyDescent="0.2">
      <c r="A661" s="5"/>
      <c r="B661" s="20"/>
      <c r="C661" s="20"/>
      <c r="D661" s="20"/>
      <c r="E661" s="20"/>
      <c r="F661" s="20"/>
      <c r="G661" s="20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2" customHeight="1" x14ac:dyDescent="0.2">
      <c r="A662" s="5"/>
      <c r="B662" s="20"/>
      <c r="C662" s="20"/>
      <c r="D662" s="20"/>
      <c r="E662" s="20"/>
      <c r="F662" s="20"/>
      <c r="G662" s="20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2" customHeight="1" x14ac:dyDescent="0.2">
      <c r="A663" s="5"/>
      <c r="B663" s="20"/>
      <c r="C663" s="20"/>
      <c r="D663" s="20"/>
      <c r="E663" s="20"/>
      <c r="F663" s="20"/>
      <c r="G663" s="20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2" customHeight="1" x14ac:dyDescent="0.2">
      <c r="A664" s="5"/>
      <c r="B664" s="20"/>
      <c r="C664" s="20"/>
      <c r="D664" s="20"/>
      <c r="E664" s="20"/>
      <c r="F664" s="20"/>
      <c r="G664" s="20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2" customHeight="1" x14ac:dyDescent="0.2">
      <c r="A665" s="5"/>
      <c r="B665" s="20"/>
      <c r="C665" s="20"/>
      <c r="D665" s="20"/>
      <c r="E665" s="20"/>
      <c r="F665" s="20"/>
      <c r="G665" s="20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2" customHeight="1" x14ac:dyDescent="0.2">
      <c r="A666" s="5"/>
      <c r="B666" s="20"/>
      <c r="C666" s="20"/>
      <c r="D666" s="20"/>
      <c r="E666" s="20"/>
      <c r="F666" s="20"/>
      <c r="G666" s="20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2" customHeight="1" x14ac:dyDescent="0.2">
      <c r="A667" s="5"/>
      <c r="B667" s="20"/>
      <c r="C667" s="20"/>
      <c r="D667" s="20"/>
      <c r="E667" s="20"/>
      <c r="F667" s="20"/>
      <c r="G667" s="20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2" customHeight="1" x14ac:dyDescent="0.2">
      <c r="A668" s="5"/>
      <c r="B668" s="20"/>
      <c r="C668" s="20"/>
      <c r="D668" s="20"/>
      <c r="E668" s="20"/>
      <c r="F668" s="20"/>
      <c r="G668" s="20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2" customHeight="1" x14ac:dyDescent="0.2">
      <c r="A669" s="5"/>
      <c r="B669" s="20"/>
      <c r="C669" s="20"/>
      <c r="D669" s="20"/>
      <c r="E669" s="20"/>
      <c r="F669" s="20"/>
      <c r="G669" s="20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2" customHeight="1" x14ac:dyDescent="0.2">
      <c r="A670" s="5"/>
      <c r="B670" s="20"/>
      <c r="C670" s="20"/>
      <c r="D670" s="20"/>
      <c r="E670" s="20"/>
      <c r="F670" s="20"/>
      <c r="G670" s="20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2" customHeight="1" x14ac:dyDescent="0.2">
      <c r="A671" s="5"/>
      <c r="B671" s="20"/>
      <c r="C671" s="20"/>
      <c r="D671" s="20"/>
      <c r="E671" s="20"/>
      <c r="F671" s="20"/>
      <c r="G671" s="20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2" customHeight="1" x14ac:dyDescent="0.2">
      <c r="A672" s="5"/>
      <c r="B672" s="20"/>
      <c r="C672" s="20"/>
      <c r="D672" s="20"/>
      <c r="E672" s="20"/>
      <c r="F672" s="20"/>
      <c r="G672" s="20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2" customHeight="1" x14ac:dyDescent="0.2">
      <c r="A673" s="5"/>
      <c r="B673" s="20"/>
      <c r="C673" s="20"/>
      <c r="D673" s="20"/>
      <c r="E673" s="20"/>
      <c r="F673" s="20"/>
      <c r="G673" s="20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2" customHeight="1" x14ac:dyDescent="0.2">
      <c r="A674" s="5"/>
      <c r="B674" s="20"/>
      <c r="C674" s="20"/>
      <c r="D674" s="20"/>
      <c r="E674" s="20"/>
      <c r="F674" s="20"/>
      <c r="G674" s="20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2" customHeight="1" x14ac:dyDescent="0.2">
      <c r="A675" s="5"/>
      <c r="B675" s="20"/>
      <c r="C675" s="20"/>
      <c r="D675" s="20"/>
      <c r="E675" s="20"/>
      <c r="F675" s="20"/>
      <c r="G675" s="20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2" customHeight="1" x14ac:dyDescent="0.2">
      <c r="A676" s="5"/>
      <c r="B676" s="20"/>
      <c r="C676" s="20"/>
      <c r="D676" s="20"/>
      <c r="E676" s="20"/>
      <c r="F676" s="20"/>
      <c r="G676" s="20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2" customHeight="1" x14ac:dyDescent="0.2">
      <c r="A677" s="5"/>
      <c r="B677" s="20"/>
      <c r="C677" s="20"/>
      <c r="D677" s="20"/>
      <c r="E677" s="20"/>
      <c r="F677" s="20"/>
      <c r="G677" s="20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2" customHeight="1" x14ac:dyDescent="0.2">
      <c r="A678" s="5"/>
      <c r="B678" s="20"/>
      <c r="C678" s="20"/>
      <c r="D678" s="20"/>
      <c r="E678" s="20"/>
      <c r="F678" s="20"/>
      <c r="G678" s="20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2" customHeight="1" x14ac:dyDescent="0.2">
      <c r="A679" s="5"/>
      <c r="B679" s="20"/>
      <c r="C679" s="20"/>
      <c r="D679" s="20"/>
      <c r="E679" s="20"/>
      <c r="F679" s="20"/>
      <c r="G679" s="20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2" customHeight="1" x14ac:dyDescent="0.2">
      <c r="A680" s="5"/>
      <c r="B680" s="20"/>
      <c r="C680" s="20"/>
      <c r="D680" s="20"/>
      <c r="E680" s="20"/>
      <c r="F680" s="20"/>
      <c r="G680" s="20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2" customHeight="1" x14ac:dyDescent="0.2">
      <c r="A681" s="5"/>
      <c r="B681" s="20"/>
      <c r="C681" s="20"/>
      <c r="D681" s="20"/>
      <c r="E681" s="20"/>
      <c r="F681" s="20"/>
      <c r="G681" s="20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2" customHeight="1" x14ac:dyDescent="0.2">
      <c r="A682" s="5"/>
      <c r="B682" s="20"/>
      <c r="C682" s="20"/>
      <c r="D682" s="20"/>
      <c r="E682" s="20"/>
      <c r="F682" s="20"/>
      <c r="G682" s="20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2" customHeight="1" x14ac:dyDescent="0.2">
      <c r="A683" s="5"/>
      <c r="B683" s="20"/>
      <c r="C683" s="20"/>
      <c r="D683" s="20"/>
      <c r="E683" s="20"/>
      <c r="F683" s="20"/>
      <c r="G683" s="20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2" customHeight="1" x14ac:dyDescent="0.2">
      <c r="A684" s="5"/>
      <c r="B684" s="20"/>
      <c r="C684" s="20"/>
      <c r="D684" s="20"/>
      <c r="E684" s="20"/>
      <c r="F684" s="20"/>
      <c r="G684" s="20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2" customHeight="1" x14ac:dyDescent="0.2">
      <c r="A685" s="5"/>
      <c r="B685" s="20"/>
      <c r="C685" s="20"/>
      <c r="D685" s="20"/>
      <c r="E685" s="20"/>
      <c r="F685" s="20"/>
      <c r="G685" s="20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2" customHeight="1" x14ac:dyDescent="0.2">
      <c r="A686" s="5"/>
      <c r="B686" s="20"/>
      <c r="C686" s="20"/>
      <c r="D686" s="20"/>
      <c r="E686" s="20"/>
      <c r="F686" s="20"/>
      <c r="G686" s="20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2" customHeight="1" x14ac:dyDescent="0.2">
      <c r="A687" s="5"/>
      <c r="B687" s="20"/>
      <c r="C687" s="20"/>
      <c r="D687" s="20"/>
      <c r="E687" s="20"/>
      <c r="F687" s="20"/>
      <c r="G687" s="20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2" customHeight="1" x14ac:dyDescent="0.2">
      <c r="A688" s="5"/>
      <c r="B688" s="20"/>
      <c r="C688" s="20"/>
      <c r="D688" s="20"/>
      <c r="E688" s="20"/>
      <c r="F688" s="20"/>
      <c r="G688" s="20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2" customHeight="1" x14ac:dyDescent="0.2">
      <c r="A689" s="5"/>
      <c r="B689" s="20"/>
      <c r="C689" s="20"/>
      <c r="D689" s="20"/>
      <c r="E689" s="20"/>
      <c r="F689" s="20"/>
      <c r="G689" s="20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2" customHeight="1" x14ac:dyDescent="0.2">
      <c r="A690" s="5"/>
      <c r="B690" s="20"/>
      <c r="C690" s="20"/>
      <c r="D690" s="20"/>
      <c r="E690" s="20"/>
      <c r="F690" s="20"/>
      <c r="G690" s="20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2" customHeight="1" x14ac:dyDescent="0.2">
      <c r="A691" s="5"/>
      <c r="B691" s="20"/>
      <c r="C691" s="20"/>
      <c r="D691" s="20"/>
      <c r="E691" s="20"/>
      <c r="F691" s="20"/>
      <c r="G691" s="20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2" customHeight="1" x14ac:dyDescent="0.2">
      <c r="A692" s="5"/>
      <c r="B692" s="20"/>
      <c r="C692" s="20"/>
      <c r="D692" s="20"/>
      <c r="E692" s="20"/>
      <c r="F692" s="20"/>
      <c r="G692" s="20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2" customHeight="1" x14ac:dyDescent="0.2">
      <c r="A693" s="5"/>
      <c r="B693" s="20"/>
      <c r="C693" s="20"/>
      <c r="D693" s="20"/>
      <c r="E693" s="20"/>
      <c r="F693" s="20"/>
      <c r="G693" s="20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2" customHeight="1" x14ac:dyDescent="0.2">
      <c r="A694" s="5"/>
      <c r="B694" s="20"/>
      <c r="C694" s="20"/>
      <c r="D694" s="20"/>
      <c r="E694" s="20"/>
      <c r="F694" s="20"/>
      <c r="G694" s="20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2" customHeight="1" x14ac:dyDescent="0.2">
      <c r="A695" s="5"/>
      <c r="B695" s="20"/>
      <c r="C695" s="20"/>
      <c r="D695" s="20"/>
      <c r="E695" s="20"/>
      <c r="F695" s="20"/>
      <c r="G695" s="20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2" customHeight="1" x14ac:dyDescent="0.2">
      <c r="A696" s="5"/>
      <c r="B696" s="20"/>
      <c r="C696" s="20"/>
      <c r="D696" s="20"/>
      <c r="E696" s="20"/>
      <c r="F696" s="20"/>
      <c r="G696" s="20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2" customHeight="1" x14ac:dyDescent="0.2">
      <c r="A697" s="5"/>
      <c r="B697" s="20"/>
      <c r="C697" s="20"/>
      <c r="D697" s="20"/>
      <c r="E697" s="20"/>
      <c r="F697" s="20"/>
      <c r="G697" s="20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2" customHeight="1" x14ac:dyDescent="0.2">
      <c r="A698" s="5"/>
      <c r="B698" s="20"/>
      <c r="C698" s="20"/>
      <c r="D698" s="20"/>
      <c r="E698" s="20"/>
      <c r="F698" s="20"/>
      <c r="G698" s="20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2" customHeight="1" x14ac:dyDescent="0.2">
      <c r="A699" s="5"/>
      <c r="B699" s="20"/>
      <c r="C699" s="20"/>
      <c r="D699" s="20"/>
      <c r="E699" s="20"/>
      <c r="F699" s="20"/>
      <c r="G699" s="20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2" customHeight="1" x14ac:dyDescent="0.2">
      <c r="A700" s="5"/>
      <c r="B700" s="20"/>
      <c r="C700" s="20"/>
      <c r="D700" s="20"/>
      <c r="E700" s="20"/>
      <c r="F700" s="20"/>
      <c r="G700" s="20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2" customHeight="1" x14ac:dyDescent="0.2">
      <c r="A701" s="5"/>
      <c r="B701" s="20"/>
      <c r="C701" s="20"/>
      <c r="D701" s="20"/>
      <c r="E701" s="20"/>
      <c r="F701" s="20"/>
      <c r="G701" s="20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2" customHeight="1" x14ac:dyDescent="0.2">
      <c r="A702" s="5"/>
      <c r="B702" s="20"/>
      <c r="C702" s="20"/>
      <c r="D702" s="20"/>
      <c r="E702" s="20"/>
      <c r="F702" s="20"/>
      <c r="G702" s="20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2" customHeight="1" x14ac:dyDescent="0.2">
      <c r="A703" s="5"/>
      <c r="B703" s="20"/>
      <c r="C703" s="20"/>
      <c r="D703" s="20"/>
      <c r="E703" s="20"/>
      <c r="F703" s="20"/>
      <c r="G703" s="20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2" customHeight="1" x14ac:dyDescent="0.2">
      <c r="A704" s="5"/>
      <c r="B704" s="20"/>
      <c r="C704" s="20"/>
      <c r="D704" s="20"/>
      <c r="E704" s="20"/>
      <c r="F704" s="20"/>
      <c r="G704" s="20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2" customHeight="1" x14ac:dyDescent="0.2">
      <c r="A705" s="5"/>
      <c r="B705" s="20"/>
      <c r="C705" s="20"/>
      <c r="D705" s="20"/>
      <c r="E705" s="20"/>
      <c r="F705" s="20"/>
      <c r="G705" s="20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2" customHeight="1" x14ac:dyDescent="0.2">
      <c r="A706" s="5"/>
      <c r="B706" s="20"/>
      <c r="C706" s="20"/>
      <c r="D706" s="20"/>
      <c r="E706" s="20"/>
      <c r="F706" s="20"/>
      <c r="G706" s="20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2" customHeight="1" x14ac:dyDescent="0.2">
      <c r="A707" s="5"/>
      <c r="B707" s="20"/>
      <c r="C707" s="20"/>
      <c r="D707" s="20"/>
      <c r="E707" s="20"/>
      <c r="F707" s="20"/>
      <c r="G707" s="20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2" customHeight="1" x14ac:dyDescent="0.2">
      <c r="A708" s="5"/>
      <c r="B708" s="20"/>
      <c r="C708" s="20"/>
      <c r="D708" s="20"/>
      <c r="E708" s="20"/>
      <c r="F708" s="20"/>
      <c r="G708" s="20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2" customHeight="1" x14ac:dyDescent="0.2">
      <c r="A709" s="5"/>
      <c r="B709" s="20"/>
      <c r="C709" s="20"/>
      <c r="D709" s="20"/>
      <c r="E709" s="20"/>
      <c r="F709" s="20"/>
      <c r="G709" s="20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2" customHeight="1" x14ac:dyDescent="0.2">
      <c r="A710" s="5"/>
      <c r="B710" s="20"/>
      <c r="C710" s="20"/>
      <c r="D710" s="20"/>
      <c r="E710" s="20"/>
      <c r="F710" s="20"/>
      <c r="G710" s="20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2" customHeight="1" x14ac:dyDescent="0.2">
      <c r="A711" s="5"/>
      <c r="B711" s="20"/>
      <c r="C711" s="20"/>
      <c r="D711" s="20"/>
      <c r="E711" s="20"/>
      <c r="F711" s="20"/>
      <c r="G711" s="20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2" customHeight="1" x14ac:dyDescent="0.2">
      <c r="A712" s="5"/>
      <c r="B712" s="20"/>
      <c r="C712" s="20"/>
      <c r="D712" s="20"/>
      <c r="E712" s="20"/>
      <c r="F712" s="20"/>
      <c r="G712" s="20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2" customHeight="1" x14ac:dyDescent="0.2">
      <c r="A713" s="5"/>
      <c r="B713" s="20"/>
      <c r="C713" s="20"/>
      <c r="D713" s="20"/>
      <c r="E713" s="20"/>
      <c r="F713" s="20"/>
      <c r="G713" s="20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2" customHeight="1" x14ac:dyDescent="0.2">
      <c r="A714" s="5"/>
      <c r="B714" s="20"/>
      <c r="C714" s="20"/>
      <c r="D714" s="20"/>
      <c r="E714" s="20"/>
      <c r="F714" s="20"/>
      <c r="G714" s="20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2" customHeight="1" x14ac:dyDescent="0.2">
      <c r="A715" s="5"/>
      <c r="B715" s="20"/>
      <c r="C715" s="20"/>
      <c r="D715" s="20"/>
      <c r="E715" s="20"/>
      <c r="F715" s="20"/>
      <c r="G715" s="20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2" customHeight="1" x14ac:dyDescent="0.2">
      <c r="A716" s="5"/>
      <c r="B716" s="20"/>
      <c r="C716" s="20"/>
      <c r="D716" s="20"/>
      <c r="E716" s="20"/>
      <c r="F716" s="20"/>
      <c r="G716" s="20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2" customHeight="1" x14ac:dyDescent="0.2">
      <c r="A717" s="5"/>
      <c r="B717" s="20"/>
      <c r="C717" s="20"/>
      <c r="D717" s="20"/>
      <c r="E717" s="20"/>
      <c r="F717" s="20"/>
      <c r="G717" s="20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2" customHeight="1" x14ac:dyDescent="0.2">
      <c r="A718" s="5"/>
      <c r="B718" s="20"/>
      <c r="C718" s="20"/>
      <c r="D718" s="20"/>
      <c r="E718" s="20"/>
      <c r="F718" s="20"/>
      <c r="G718" s="20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2" customHeight="1" x14ac:dyDescent="0.2">
      <c r="A719" s="5"/>
      <c r="B719" s="20"/>
      <c r="C719" s="20"/>
      <c r="D719" s="20"/>
      <c r="E719" s="20"/>
      <c r="F719" s="20"/>
      <c r="G719" s="20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2" customHeight="1" x14ac:dyDescent="0.2">
      <c r="A720" s="5"/>
      <c r="B720" s="20"/>
      <c r="C720" s="20"/>
      <c r="D720" s="20"/>
      <c r="E720" s="20"/>
      <c r="F720" s="20"/>
      <c r="G720" s="20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2" customHeight="1" x14ac:dyDescent="0.2">
      <c r="A721" s="5"/>
      <c r="B721" s="20"/>
      <c r="C721" s="20"/>
      <c r="D721" s="20"/>
      <c r="E721" s="20"/>
      <c r="F721" s="20"/>
      <c r="G721" s="20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2" customHeight="1" x14ac:dyDescent="0.2">
      <c r="A722" s="5"/>
      <c r="B722" s="20"/>
      <c r="C722" s="20"/>
      <c r="D722" s="20"/>
      <c r="E722" s="20"/>
      <c r="F722" s="20"/>
      <c r="G722" s="20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2" customHeight="1" x14ac:dyDescent="0.2">
      <c r="A723" s="5"/>
      <c r="B723" s="20"/>
      <c r="C723" s="20"/>
      <c r="D723" s="20"/>
      <c r="E723" s="20"/>
      <c r="F723" s="20"/>
      <c r="G723" s="20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2" customHeight="1" x14ac:dyDescent="0.2">
      <c r="A724" s="5"/>
      <c r="B724" s="20"/>
      <c r="C724" s="20"/>
      <c r="D724" s="20"/>
      <c r="E724" s="20"/>
      <c r="F724" s="20"/>
      <c r="G724" s="20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2" customHeight="1" x14ac:dyDescent="0.2">
      <c r="A725" s="5"/>
      <c r="B725" s="20"/>
      <c r="C725" s="20"/>
      <c r="D725" s="20"/>
      <c r="E725" s="20"/>
      <c r="F725" s="20"/>
      <c r="G725" s="20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2" customHeight="1" x14ac:dyDescent="0.2">
      <c r="A726" s="5"/>
      <c r="B726" s="20"/>
      <c r="C726" s="20"/>
      <c r="D726" s="20"/>
      <c r="E726" s="20"/>
      <c r="F726" s="20"/>
      <c r="G726" s="20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2" customHeight="1" x14ac:dyDescent="0.2">
      <c r="A727" s="5"/>
      <c r="B727" s="20"/>
      <c r="C727" s="20"/>
      <c r="D727" s="20"/>
      <c r="E727" s="20"/>
      <c r="F727" s="20"/>
      <c r="G727" s="20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2" customHeight="1" x14ac:dyDescent="0.2">
      <c r="A728" s="5"/>
      <c r="B728" s="20"/>
      <c r="C728" s="20"/>
      <c r="D728" s="20"/>
      <c r="E728" s="20"/>
      <c r="F728" s="20"/>
      <c r="G728" s="20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2" customHeight="1" x14ac:dyDescent="0.2">
      <c r="A729" s="5"/>
      <c r="B729" s="20"/>
      <c r="C729" s="20"/>
      <c r="D729" s="20"/>
      <c r="E729" s="20"/>
      <c r="F729" s="20"/>
      <c r="G729" s="20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2" customHeight="1" x14ac:dyDescent="0.2">
      <c r="A730" s="5"/>
      <c r="B730" s="20"/>
      <c r="C730" s="20"/>
      <c r="D730" s="20"/>
      <c r="E730" s="20"/>
      <c r="F730" s="20"/>
      <c r="G730" s="20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2" customHeight="1" x14ac:dyDescent="0.2">
      <c r="A731" s="5"/>
      <c r="B731" s="20"/>
      <c r="C731" s="20"/>
      <c r="D731" s="20"/>
      <c r="E731" s="20"/>
      <c r="F731" s="20"/>
      <c r="G731" s="20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2" customHeight="1" x14ac:dyDescent="0.2">
      <c r="A732" s="5"/>
      <c r="B732" s="20"/>
      <c r="C732" s="20"/>
      <c r="D732" s="20"/>
      <c r="E732" s="20"/>
      <c r="F732" s="20"/>
      <c r="G732" s="20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2" customHeight="1" x14ac:dyDescent="0.2">
      <c r="A733" s="5"/>
      <c r="B733" s="20"/>
      <c r="C733" s="20"/>
      <c r="D733" s="20"/>
      <c r="E733" s="20"/>
      <c r="F733" s="20"/>
      <c r="G733" s="20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2" customHeight="1" x14ac:dyDescent="0.2">
      <c r="A734" s="5"/>
      <c r="B734" s="20"/>
      <c r="C734" s="20"/>
      <c r="D734" s="20"/>
      <c r="E734" s="20"/>
      <c r="F734" s="20"/>
      <c r="G734" s="20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2" customHeight="1" x14ac:dyDescent="0.2">
      <c r="A735" s="5"/>
      <c r="B735" s="20"/>
      <c r="C735" s="20"/>
      <c r="D735" s="20"/>
      <c r="E735" s="20"/>
      <c r="F735" s="20"/>
      <c r="G735" s="20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2" customHeight="1" x14ac:dyDescent="0.2">
      <c r="A736" s="5"/>
      <c r="B736" s="20"/>
      <c r="C736" s="20"/>
      <c r="D736" s="20"/>
      <c r="E736" s="20"/>
      <c r="F736" s="20"/>
      <c r="G736" s="20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2" customHeight="1" x14ac:dyDescent="0.2">
      <c r="A737" s="5"/>
      <c r="B737" s="20"/>
      <c r="C737" s="20"/>
      <c r="D737" s="20"/>
      <c r="E737" s="20"/>
      <c r="F737" s="20"/>
      <c r="G737" s="20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2" customHeight="1" x14ac:dyDescent="0.2">
      <c r="A738" s="5"/>
      <c r="B738" s="20"/>
      <c r="C738" s="20"/>
      <c r="D738" s="20"/>
      <c r="E738" s="20"/>
      <c r="F738" s="20"/>
      <c r="G738" s="20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2" customHeight="1" x14ac:dyDescent="0.2">
      <c r="A739" s="5"/>
      <c r="B739" s="20"/>
      <c r="C739" s="20"/>
      <c r="D739" s="20"/>
      <c r="E739" s="20"/>
      <c r="F739" s="20"/>
      <c r="G739" s="20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2" customHeight="1" x14ac:dyDescent="0.2">
      <c r="A740" s="5"/>
      <c r="B740" s="20"/>
      <c r="C740" s="20"/>
      <c r="D740" s="20"/>
      <c r="E740" s="20"/>
      <c r="F740" s="20"/>
      <c r="G740" s="20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2" customHeight="1" x14ac:dyDescent="0.2">
      <c r="A741" s="5"/>
      <c r="B741" s="20"/>
      <c r="C741" s="20"/>
      <c r="D741" s="20"/>
      <c r="E741" s="20"/>
      <c r="F741" s="20"/>
      <c r="G741" s="20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2" customHeight="1" x14ac:dyDescent="0.2">
      <c r="A742" s="5"/>
      <c r="B742" s="20"/>
      <c r="C742" s="20"/>
      <c r="D742" s="20"/>
      <c r="E742" s="20"/>
      <c r="F742" s="20"/>
      <c r="G742" s="20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2" customHeight="1" x14ac:dyDescent="0.2">
      <c r="A743" s="5"/>
      <c r="B743" s="20"/>
      <c r="C743" s="20"/>
      <c r="D743" s="20"/>
      <c r="E743" s="20"/>
      <c r="F743" s="20"/>
      <c r="G743" s="20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2" customHeight="1" x14ac:dyDescent="0.2">
      <c r="A744" s="5"/>
      <c r="B744" s="20"/>
      <c r="C744" s="20"/>
      <c r="D744" s="20"/>
      <c r="E744" s="20"/>
      <c r="F744" s="20"/>
      <c r="G744" s="20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2" customHeight="1" x14ac:dyDescent="0.2">
      <c r="A745" s="5"/>
      <c r="B745" s="20"/>
      <c r="C745" s="20"/>
      <c r="D745" s="20"/>
      <c r="E745" s="20"/>
      <c r="F745" s="20"/>
      <c r="G745" s="20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2" customHeight="1" x14ac:dyDescent="0.2">
      <c r="A746" s="5"/>
      <c r="B746" s="20"/>
      <c r="C746" s="20"/>
      <c r="D746" s="20"/>
      <c r="E746" s="20"/>
      <c r="F746" s="20"/>
      <c r="G746" s="20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2" customHeight="1" x14ac:dyDescent="0.2">
      <c r="A747" s="5"/>
      <c r="B747" s="20"/>
      <c r="C747" s="20"/>
      <c r="D747" s="20"/>
      <c r="E747" s="20"/>
      <c r="F747" s="20"/>
      <c r="G747" s="20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2" customHeight="1" x14ac:dyDescent="0.2">
      <c r="A748" s="5"/>
      <c r="B748" s="20"/>
      <c r="C748" s="20"/>
      <c r="D748" s="20"/>
      <c r="E748" s="20"/>
      <c r="F748" s="20"/>
      <c r="G748" s="20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2" customHeight="1" x14ac:dyDescent="0.2">
      <c r="A749" s="5"/>
      <c r="B749" s="20"/>
      <c r="C749" s="20"/>
      <c r="D749" s="20"/>
      <c r="E749" s="20"/>
      <c r="F749" s="20"/>
      <c r="G749" s="20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2" customHeight="1" x14ac:dyDescent="0.2">
      <c r="A750" s="5"/>
      <c r="B750" s="20"/>
      <c r="C750" s="20"/>
      <c r="D750" s="20"/>
      <c r="E750" s="20"/>
      <c r="F750" s="20"/>
      <c r="G750" s="20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2" customHeight="1" x14ac:dyDescent="0.2">
      <c r="A751" s="5"/>
      <c r="B751" s="20"/>
      <c r="C751" s="20"/>
      <c r="D751" s="20"/>
      <c r="E751" s="20"/>
      <c r="F751" s="20"/>
      <c r="G751" s="20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2" customHeight="1" x14ac:dyDescent="0.2">
      <c r="A752" s="5"/>
      <c r="B752" s="20"/>
      <c r="C752" s="20"/>
      <c r="D752" s="20"/>
      <c r="E752" s="20"/>
      <c r="F752" s="20"/>
      <c r="G752" s="20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2" customHeight="1" x14ac:dyDescent="0.2">
      <c r="A753" s="5"/>
      <c r="B753" s="20"/>
      <c r="C753" s="20"/>
      <c r="D753" s="20"/>
      <c r="E753" s="20"/>
      <c r="F753" s="20"/>
      <c r="G753" s="20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2" customHeight="1" x14ac:dyDescent="0.2">
      <c r="A754" s="5"/>
      <c r="B754" s="20"/>
      <c r="C754" s="20"/>
      <c r="D754" s="20"/>
      <c r="E754" s="20"/>
      <c r="F754" s="20"/>
      <c r="G754" s="20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2" customHeight="1" x14ac:dyDescent="0.2">
      <c r="A755" s="5"/>
      <c r="B755" s="20"/>
      <c r="C755" s="20"/>
      <c r="D755" s="20"/>
      <c r="E755" s="20"/>
      <c r="F755" s="20"/>
      <c r="G755" s="20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2" customHeight="1" x14ac:dyDescent="0.2">
      <c r="A756" s="5"/>
      <c r="B756" s="20"/>
      <c r="C756" s="20"/>
      <c r="D756" s="20"/>
      <c r="E756" s="20"/>
      <c r="F756" s="20"/>
      <c r="G756" s="20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2" customHeight="1" x14ac:dyDescent="0.2">
      <c r="A757" s="5"/>
      <c r="B757" s="20"/>
      <c r="C757" s="20"/>
      <c r="D757" s="20"/>
      <c r="E757" s="20"/>
      <c r="F757" s="20"/>
      <c r="G757" s="20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2" customHeight="1" x14ac:dyDescent="0.2">
      <c r="A758" s="5"/>
      <c r="B758" s="20"/>
      <c r="C758" s="20"/>
      <c r="D758" s="20"/>
      <c r="E758" s="20"/>
      <c r="F758" s="20"/>
      <c r="G758" s="20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2" customHeight="1" x14ac:dyDescent="0.2">
      <c r="A759" s="5"/>
      <c r="B759" s="20"/>
      <c r="C759" s="20"/>
      <c r="D759" s="20"/>
      <c r="E759" s="20"/>
      <c r="F759" s="20"/>
      <c r="G759" s="20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2" customHeight="1" x14ac:dyDescent="0.2">
      <c r="A760" s="5"/>
      <c r="B760" s="20"/>
      <c r="C760" s="20"/>
      <c r="D760" s="20"/>
      <c r="E760" s="20"/>
      <c r="F760" s="20"/>
      <c r="G760" s="20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2" customHeight="1" x14ac:dyDescent="0.2">
      <c r="A761" s="5"/>
      <c r="B761" s="20"/>
      <c r="C761" s="20"/>
      <c r="D761" s="20"/>
      <c r="E761" s="20"/>
      <c r="F761" s="20"/>
      <c r="G761" s="20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2" customHeight="1" x14ac:dyDescent="0.2">
      <c r="A762" s="5"/>
      <c r="B762" s="20"/>
      <c r="C762" s="20"/>
      <c r="D762" s="20"/>
      <c r="E762" s="20"/>
      <c r="F762" s="20"/>
      <c r="G762" s="20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2" customHeight="1" x14ac:dyDescent="0.2">
      <c r="A763" s="5"/>
      <c r="B763" s="20"/>
      <c r="C763" s="20"/>
      <c r="D763" s="20"/>
      <c r="E763" s="20"/>
      <c r="F763" s="20"/>
      <c r="G763" s="20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2" customHeight="1" x14ac:dyDescent="0.2">
      <c r="A764" s="5"/>
      <c r="B764" s="20"/>
      <c r="C764" s="20"/>
      <c r="D764" s="20"/>
      <c r="E764" s="20"/>
      <c r="F764" s="20"/>
      <c r="G764" s="20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2" customHeight="1" x14ac:dyDescent="0.2">
      <c r="A765" s="5"/>
      <c r="B765" s="20"/>
      <c r="C765" s="20"/>
      <c r="D765" s="20"/>
      <c r="E765" s="20"/>
      <c r="F765" s="20"/>
      <c r="G765" s="20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2" customHeight="1" x14ac:dyDescent="0.2">
      <c r="A766" s="5"/>
      <c r="B766" s="20"/>
      <c r="C766" s="20"/>
      <c r="D766" s="20"/>
      <c r="E766" s="20"/>
      <c r="F766" s="20"/>
      <c r="G766" s="20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2" customHeight="1" x14ac:dyDescent="0.2">
      <c r="A767" s="5"/>
      <c r="B767" s="20"/>
      <c r="C767" s="20"/>
      <c r="D767" s="20"/>
      <c r="E767" s="20"/>
      <c r="F767" s="20"/>
      <c r="G767" s="20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2" customHeight="1" x14ac:dyDescent="0.2">
      <c r="A768" s="5"/>
      <c r="B768" s="20"/>
      <c r="C768" s="20"/>
      <c r="D768" s="20"/>
      <c r="E768" s="20"/>
      <c r="F768" s="20"/>
      <c r="G768" s="20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2" customHeight="1" x14ac:dyDescent="0.2">
      <c r="A769" s="5"/>
      <c r="B769" s="20"/>
      <c r="C769" s="20"/>
      <c r="D769" s="20"/>
      <c r="E769" s="20"/>
      <c r="F769" s="20"/>
      <c r="G769" s="20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2" customHeight="1" x14ac:dyDescent="0.2">
      <c r="A770" s="5"/>
      <c r="B770" s="20"/>
      <c r="C770" s="20"/>
      <c r="D770" s="20"/>
      <c r="E770" s="20"/>
      <c r="F770" s="20"/>
      <c r="G770" s="20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2" customHeight="1" x14ac:dyDescent="0.2">
      <c r="A771" s="5"/>
      <c r="B771" s="20"/>
      <c r="C771" s="20"/>
      <c r="D771" s="20"/>
      <c r="E771" s="20"/>
      <c r="F771" s="20"/>
      <c r="G771" s="20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2" customHeight="1" x14ac:dyDescent="0.2">
      <c r="A772" s="5"/>
      <c r="B772" s="20"/>
      <c r="C772" s="20"/>
      <c r="D772" s="20"/>
      <c r="E772" s="20"/>
      <c r="F772" s="20"/>
      <c r="G772" s="20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2" customHeight="1" x14ac:dyDescent="0.2">
      <c r="A773" s="5"/>
      <c r="B773" s="20"/>
      <c r="C773" s="20"/>
      <c r="D773" s="20"/>
      <c r="E773" s="20"/>
      <c r="F773" s="20"/>
      <c r="G773" s="20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2" customHeight="1" x14ac:dyDescent="0.2">
      <c r="A774" s="5"/>
      <c r="B774" s="20"/>
      <c r="C774" s="20"/>
      <c r="D774" s="20"/>
      <c r="E774" s="20"/>
      <c r="F774" s="20"/>
      <c r="G774" s="20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2" customHeight="1" x14ac:dyDescent="0.2">
      <c r="A775" s="5"/>
      <c r="B775" s="20"/>
      <c r="C775" s="20"/>
      <c r="D775" s="20"/>
      <c r="E775" s="20"/>
      <c r="F775" s="20"/>
      <c r="G775" s="20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2" customHeight="1" x14ac:dyDescent="0.2">
      <c r="A776" s="5"/>
      <c r="B776" s="20"/>
      <c r="C776" s="20"/>
      <c r="D776" s="20"/>
      <c r="E776" s="20"/>
      <c r="F776" s="20"/>
      <c r="G776" s="20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2" customHeight="1" x14ac:dyDescent="0.2">
      <c r="A777" s="5"/>
      <c r="B777" s="20"/>
      <c r="C777" s="20"/>
      <c r="D777" s="20"/>
      <c r="E777" s="20"/>
      <c r="F777" s="20"/>
      <c r="G777" s="20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2" customHeight="1" x14ac:dyDescent="0.2">
      <c r="A778" s="5"/>
      <c r="B778" s="20"/>
      <c r="C778" s="20"/>
      <c r="D778" s="20"/>
      <c r="E778" s="20"/>
      <c r="F778" s="20"/>
      <c r="G778" s="20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2" customHeight="1" x14ac:dyDescent="0.2">
      <c r="A779" s="5"/>
      <c r="B779" s="20"/>
      <c r="C779" s="20"/>
      <c r="D779" s="20"/>
      <c r="E779" s="20"/>
      <c r="F779" s="20"/>
      <c r="G779" s="20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2" customHeight="1" x14ac:dyDescent="0.2">
      <c r="A780" s="5"/>
      <c r="B780" s="20"/>
      <c r="C780" s="20"/>
      <c r="D780" s="20"/>
      <c r="E780" s="20"/>
      <c r="F780" s="20"/>
      <c r="G780" s="20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2" customHeight="1" x14ac:dyDescent="0.2">
      <c r="A781" s="5"/>
      <c r="B781" s="20"/>
      <c r="C781" s="20"/>
      <c r="D781" s="20"/>
      <c r="E781" s="20"/>
      <c r="F781" s="20"/>
      <c r="G781" s="20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2" customHeight="1" x14ac:dyDescent="0.2">
      <c r="A782" s="5"/>
      <c r="B782" s="20"/>
      <c r="C782" s="20"/>
      <c r="D782" s="20"/>
      <c r="E782" s="20"/>
      <c r="F782" s="20"/>
      <c r="G782" s="20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2" customHeight="1" x14ac:dyDescent="0.2">
      <c r="A783" s="5"/>
      <c r="B783" s="20"/>
      <c r="C783" s="20"/>
      <c r="D783" s="20"/>
      <c r="E783" s="20"/>
      <c r="F783" s="20"/>
      <c r="G783" s="20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2" customHeight="1" x14ac:dyDescent="0.2">
      <c r="A784" s="5"/>
      <c r="B784" s="20"/>
      <c r="C784" s="20"/>
      <c r="D784" s="20"/>
      <c r="E784" s="20"/>
      <c r="F784" s="20"/>
      <c r="G784" s="20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2" customHeight="1" x14ac:dyDescent="0.2">
      <c r="A785" s="5"/>
      <c r="B785" s="20"/>
      <c r="C785" s="20"/>
      <c r="D785" s="20"/>
      <c r="E785" s="20"/>
      <c r="F785" s="20"/>
      <c r="G785" s="20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2" customHeight="1" x14ac:dyDescent="0.2">
      <c r="A786" s="5"/>
      <c r="B786" s="20"/>
      <c r="C786" s="20"/>
      <c r="D786" s="20"/>
      <c r="E786" s="20"/>
      <c r="F786" s="20"/>
      <c r="G786" s="20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2" customHeight="1" x14ac:dyDescent="0.2">
      <c r="A787" s="5"/>
      <c r="B787" s="20"/>
      <c r="C787" s="20"/>
      <c r="D787" s="20"/>
      <c r="E787" s="20"/>
      <c r="F787" s="20"/>
      <c r="G787" s="20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2" customHeight="1" x14ac:dyDescent="0.2">
      <c r="A788" s="5"/>
      <c r="B788" s="20"/>
      <c r="C788" s="20"/>
      <c r="D788" s="20"/>
      <c r="E788" s="20"/>
      <c r="F788" s="20"/>
      <c r="G788" s="20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2" customHeight="1" x14ac:dyDescent="0.2">
      <c r="A789" s="5"/>
      <c r="B789" s="20"/>
      <c r="C789" s="20"/>
      <c r="D789" s="20"/>
      <c r="E789" s="20"/>
      <c r="F789" s="20"/>
      <c r="G789" s="20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2" customHeight="1" x14ac:dyDescent="0.2">
      <c r="A790" s="5"/>
      <c r="B790" s="20"/>
      <c r="C790" s="20"/>
      <c r="D790" s="20"/>
      <c r="E790" s="20"/>
      <c r="F790" s="20"/>
      <c r="G790" s="20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2" customHeight="1" x14ac:dyDescent="0.2">
      <c r="A791" s="5"/>
      <c r="B791" s="20"/>
      <c r="C791" s="20"/>
      <c r="D791" s="20"/>
      <c r="E791" s="20"/>
      <c r="F791" s="20"/>
      <c r="G791" s="20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2" customHeight="1" x14ac:dyDescent="0.2">
      <c r="A792" s="5"/>
      <c r="B792" s="20"/>
      <c r="C792" s="20"/>
      <c r="D792" s="20"/>
      <c r="E792" s="20"/>
      <c r="F792" s="20"/>
      <c r="G792" s="20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2" customHeight="1" x14ac:dyDescent="0.2">
      <c r="A793" s="5"/>
      <c r="B793" s="20"/>
      <c r="C793" s="20"/>
      <c r="D793" s="20"/>
      <c r="E793" s="20"/>
      <c r="F793" s="20"/>
      <c r="G793" s="20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2" customHeight="1" x14ac:dyDescent="0.2">
      <c r="A794" s="5"/>
      <c r="B794" s="20"/>
      <c r="C794" s="20"/>
      <c r="D794" s="20"/>
      <c r="E794" s="20"/>
      <c r="F794" s="20"/>
      <c r="G794" s="20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2" customHeight="1" x14ac:dyDescent="0.2">
      <c r="A795" s="5"/>
      <c r="B795" s="20"/>
      <c r="C795" s="20"/>
      <c r="D795" s="20"/>
      <c r="E795" s="20"/>
      <c r="F795" s="20"/>
      <c r="G795" s="20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2" customHeight="1" x14ac:dyDescent="0.2">
      <c r="A796" s="5"/>
      <c r="B796" s="20"/>
      <c r="C796" s="20"/>
      <c r="D796" s="20"/>
      <c r="E796" s="20"/>
      <c r="F796" s="20"/>
      <c r="G796" s="20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2" customHeight="1" x14ac:dyDescent="0.2">
      <c r="A797" s="5"/>
      <c r="B797" s="20"/>
      <c r="C797" s="20"/>
      <c r="D797" s="20"/>
      <c r="E797" s="20"/>
      <c r="F797" s="20"/>
      <c r="G797" s="20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2" customHeight="1" x14ac:dyDescent="0.2">
      <c r="A798" s="5"/>
      <c r="B798" s="20"/>
      <c r="C798" s="20"/>
      <c r="D798" s="20"/>
      <c r="E798" s="20"/>
      <c r="F798" s="20"/>
      <c r="G798" s="20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2" customHeight="1" x14ac:dyDescent="0.2">
      <c r="A799" s="5"/>
      <c r="B799" s="20"/>
      <c r="C799" s="20"/>
      <c r="D799" s="20"/>
      <c r="E799" s="20"/>
      <c r="F799" s="20"/>
      <c r="G799" s="20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2" customHeight="1" x14ac:dyDescent="0.2">
      <c r="A800" s="5"/>
      <c r="B800" s="20"/>
      <c r="C800" s="20"/>
      <c r="D800" s="20"/>
      <c r="E800" s="20"/>
      <c r="F800" s="20"/>
      <c r="G800" s="20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2" customHeight="1" x14ac:dyDescent="0.2">
      <c r="A801" s="5"/>
      <c r="B801" s="20"/>
      <c r="C801" s="20"/>
      <c r="D801" s="20"/>
      <c r="E801" s="20"/>
      <c r="F801" s="20"/>
      <c r="G801" s="20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2" customHeight="1" x14ac:dyDescent="0.2">
      <c r="A802" s="5"/>
      <c r="B802" s="20"/>
      <c r="C802" s="20"/>
      <c r="D802" s="20"/>
      <c r="E802" s="20"/>
      <c r="F802" s="20"/>
      <c r="G802" s="20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2" customHeight="1" x14ac:dyDescent="0.2">
      <c r="A803" s="5"/>
      <c r="B803" s="20"/>
      <c r="C803" s="20"/>
      <c r="D803" s="20"/>
      <c r="E803" s="20"/>
      <c r="F803" s="20"/>
      <c r="G803" s="20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2" customHeight="1" x14ac:dyDescent="0.2">
      <c r="A804" s="5"/>
      <c r="B804" s="20"/>
      <c r="C804" s="20"/>
      <c r="D804" s="20"/>
      <c r="E804" s="20"/>
      <c r="F804" s="20"/>
      <c r="G804" s="20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2" customHeight="1" x14ac:dyDescent="0.2">
      <c r="A805" s="5"/>
      <c r="B805" s="20"/>
      <c r="C805" s="20"/>
      <c r="D805" s="20"/>
      <c r="E805" s="20"/>
      <c r="F805" s="20"/>
      <c r="G805" s="20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2" customHeight="1" x14ac:dyDescent="0.2">
      <c r="A806" s="5"/>
      <c r="B806" s="20"/>
      <c r="C806" s="20"/>
      <c r="D806" s="20"/>
      <c r="E806" s="20"/>
      <c r="F806" s="20"/>
      <c r="G806" s="20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2" customHeight="1" x14ac:dyDescent="0.2">
      <c r="A807" s="5"/>
      <c r="B807" s="20"/>
      <c r="C807" s="20"/>
      <c r="D807" s="20"/>
      <c r="E807" s="20"/>
      <c r="F807" s="20"/>
      <c r="G807" s="20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2" customHeight="1" x14ac:dyDescent="0.2">
      <c r="A808" s="5"/>
      <c r="B808" s="20"/>
      <c r="C808" s="20"/>
      <c r="D808" s="20"/>
      <c r="E808" s="20"/>
      <c r="F808" s="20"/>
      <c r="G808" s="20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2" customHeight="1" x14ac:dyDescent="0.2">
      <c r="A809" s="5"/>
      <c r="B809" s="20"/>
      <c r="C809" s="20"/>
      <c r="D809" s="20"/>
      <c r="E809" s="20"/>
      <c r="F809" s="20"/>
      <c r="G809" s="20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2" customHeight="1" x14ac:dyDescent="0.2">
      <c r="A810" s="5"/>
      <c r="B810" s="20"/>
      <c r="C810" s="20"/>
      <c r="D810" s="20"/>
      <c r="E810" s="20"/>
      <c r="F810" s="20"/>
      <c r="G810" s="20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2" customHeight="1" x14ac:dyDescent="0.2">
      <c r="A811" s="5"/>
      <c r="B811" s="20"/>
      <c r="C811" s="20"/>
      <c r="D811" s="20"/>
      <c r="E811" s="20"/>
      <c r="F811" s="20"/>
      <c r="G811" s="20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2" customHeight="1" x14ac:dyDescent="0.2">
      <c r="A812" s="5"/>
      <c r="B812" s="20"/>
      <c r="C812" s="20"/>
      <c r="D812" s="20"/>
      <c r="E812" s="20"/>
      <c r="F812" s="20"/>
      <c r="G812" s="20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2" customHeight="1" x14ac:dyDescent="0.2">
      <c r="A813" s="5"/>
      <c r="B813" s="20"/>
      <c r="C813" s="20"/>
      <c r="D813" s="20"/>
      <c r="E813" s="20"/>
      <c r="F813" s="20"/>
      <c r="G813" s="20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2" customHeight="1" x14ac:dyDescent="0.2">
      <c r="A814" s="5"/>
      <c r="B814" s="20"/>
      <c r="C814" s="20"/>
      <c r="D814" s="20"/>
      <c r="E814" s="20"/>
      <c r="F814" s="20"/>
      <c r="G814" s="20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2" customHeight="1" x14ac:dyDescent="0.2">
      <c r="A815" s="5"/>
      <c r="B815" s="20"/>
      <c r="C815" s="20"/>
      <c r="D815" s="20"/>
      <c r="E815" s="20"/>
      <c r="F815" s="20"/>
      <c r="G815" s="20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2" customHeight="1" x14ac:dyDescent="0.2">
      <c r="A816" s="5"/>
      <c r="B816" s="20"/>
      <c r="C816" s="20"/>
      <c r="D816" s="20"/>
      <c r="E816" s="20"/>
      <c r="F816" s="20"/>
      <c r="G816" s="20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2" customHeight="1" x14ac:dyDescent="0.2">
      <c r="A817" s="5"/>
      <c r="B817" s="20"/>
      <c r="C817" s="20"/>
      <c r="D817" s="20"/>
      <c r="E817" s="20"/>
      <c r="F817" s="20"/>
      <c r="G817" s="20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2" customHeight="1" x14ac:dyDescent="0.2">
      <c r="A818" s="5"/>
      <c r="B818" s="20"/>
      <c r="C818" s="20"/>
      <c r="D818" s="20"/>
      <c r="E818" s="20"/>
      <c r="F818" s="20"/>
      <c r="G818" s="20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2" customHeight="1" x14ac:dyDescent="0.2">
      <c r="A819" s="5"/>
      <c r="B819" s="20"/>
      <c r="C819" s="20"/>
      <c r="D819" s="20"/>
      <c r="E819" s="20"/>
      <c r="F819" s="20"/>
      <c r="G819" s="20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2" customHeight="1" x14ac:dyDescent="0.2">
      <c r="A820" s="5"/>
      <c r="B820" s="20"/>
      <c r="C820" s="20"/>
      <c r="D820" s="20"/>
      <c r="E820" s="20"/>
      <c r="F820" s="20"/>
      <c r="G820" s="20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2" customHeight="1" x14ac:dyDescent="0.2">
      <c r="A821" s="5"/>
      <c r="B821" s="20"/>
      <c r="C821" s="20"/>
      <c r="D821" s="20"/>
      <c r="E821" s="20"/>
      <c r="F821" s="20"/>
      <c r="G821" s="20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2" customHeight="1" x14ac:dyDescent="0.2">
      <c r="A822" s="5"/>
      <c r="B822" s="20"/>
      <c r="C822" s="20"/>
      <c r="D822" s="20"/>
      <c r="E822" s="20"/>
      <c r="F822" s="20"/>
      <c r="G822" s="20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2" customHeight="1" x14ac:dyDescent="0.2">
      <c r="A823" s="5"/>
      <c r="B823" s="20"/>
      <c r="C823" s="20"/>
      <c r="D823" s="20"/>
      <c r="E823" s="20"/>
      <c r="F823" s="20"/>
      <c r="G823" s="20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2" customHeight="1" x14ac:dyDescent="0.2">
      <c r="A824" s="5"/>
      <c r="B824" s="20"/>
      <c r="C824" s="20"/>
      <c r="D824" s="20"/>
      <c r="E824" s="20"/>
      <c r="F824" s="20"/>
      <c r="G824" s="20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2" customHeight="1" x14ac:dyDescent="0.2">
      <c r="A825" s="5"/>
      <c r="B825" s="20"/>
      <c r="C825" s="20"/>
      <c r="D825" s="20"/>
      <c r="E825" s="20"/>
      <c r="F825" s="20"/>
      <c r="G825" s="20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2" customHeight="1" x14ac:dyDescent="0.2">
      <c r="A826" s="5"/>
      <c r="B826" s="20"/>
      <c r="C826" s="20"/>
      <c r="D826" s="20"/>
      <c r="E826" s="20"/>
      <c r="F826" s="20"/>
      <c r="G826" s="20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2" customHeight="1" x14ac:dyDescent="0.2">
      <c r="A827" s="5"/>
      <c r="B827" s="20"/>
      <c r="C827" s="20"/>
      <c r="D827" s="20"/>
      <c r="E827" s="20"/>
      <c r="F827" s="20"/>
      <c r="G827" s="20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2" customHeight="1" x14ac:dyDescent="0.2">
      <c r="A828" s="5"/>
      <c r="B828" s="20"/>
      <c r="C828" s="20"/>
      <c r="D828" s="20"/>
      <c r="E828" s="20"/>
      <c r="F828" s="20"/>
      <c r="G828" s="20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2" customHeight="1" x14ac:dyDescent="0.2">
      <c r="A829" s="5"/>
      <c r="B829" s="20"/>
      <c r="C829" s="20"/>
      <c r="D829" s="20"/>
      <c r="E829" s="20"/>
      <c r="F829" s="20"/>
      <c r="G829" s="20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2" customHeight="1" x14ac:dyDescent="0.2">
      <c r="A830" s="5"/>
      <c r="B830" s="20"/>
      <c r="C830" s="20"/>
      <c r="D830" s="20"/>
      <c r="E830" s="20"/>
      <c r="F830" s="20"/>
      <c r="G830" s="20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2" customHeight="1" x14ac:dyDescent="0.2">
      <c r="A831" s="5"/>
      <c r="B831" s="20"/>
      <c r="C831" s="20"/>
      <c r="D831" s="20"/>
      <c r="E831" s="20"/>
      <c r="F831" s="20"/>
      <c r="G831" s="20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2" customHeight="1" x14ac:dyDescent="0.2">
      <c r="A832" s="5"/>
      <c r="B832" s="20"/>
      <c r="C832" s="20"/>
      <c r="D832" s="20"/>
      <c r="E832" s="20"/>
      <c r="F832" s="20"/>
      <c r="G832" s="20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2" customHeight="1" x14ac:dyDescent="0.2">
      <c r="A833" s="5"/>
      <c r="B833" s="20"/>
      <c r="C833" s="20"/>
      <c r="D833" s="20"/>
      <c r="E833" s="20"/>
      <c r="F833" s="20"/>
      <c r="G833" s="20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2" customHeight="1" x14ac:dyDescent="0.2">
      <c r="A834" s="5"/>
      <c r="B834" s="20"/>
      <c r="C834" s="20"/>
      <c r="D834" s="20"/>
      <c r="E834" s="20"/>
      <c r="F834" s="20"/>
      <c r="G834" s="20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2" customHeight="1" x14ac:dyDescent="0.2">
      <c r="A835" s="5"/>
      <c r="B835" s="20"/>
      <c r="C835" s="20"/>
      <c r="D835" s="20"/>
      <c r="E835" s="20"/>
      <c r="F835" s="20"/>
      <c r="G835" s="20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2" customHeight="1" x14ac:dyDescent="0.2">
      <c r="A836" s="5"/>
      <c r="B836" s="20"/>
      <c r="C836" s="20"/>
      <c r="D836" s="20"/>
      <c r="E836" s="20"/>
      <c r="F836" s="20"/>
      <c r="G836" s="20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2" customHeight="1" x14ac:dyDescent="0.2">
      <c r="A837" s="5"/>
      <c r="B837" s="20"/>
      <c r="C837" s="20"/>
      <c r="D837" s="20"/>
      <c r="E837" s="20"/>
      <c r="F837" s="20"/>
      <c r="G837" s="20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2" customHeight="1" x14ac:dyDescent="0.2">
      <c r="A838" s="5"/>
      <c r="B838" s="20"/>
      <c r="C838" s="20"/>
      <c r="D838" s="20"/>
      <c r="E838" s="20"/>
      <c r="F838" s="20"/>
      <c r="G838" s="20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2" customHeight="1" x14ac:dyDescent="0.2">
      <c r="A839" s="5"/>
      <c r="B839" s="20"/>
      <c r="C839" s="20"/>
      <c r="D839" s="20"/>
      <c r="E839" s="20"/>
      <c r="F839" s="20"/>
      <c r="G839" s="20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2" customHeight="1" x14ac:dyDescent="0.2">
      <c r="A840" s="5"/>
      <c r="B840" s="20"/>
      <c r="C840" s="20"/>
      <c r="D840" s="20"/>
      <c r="E840" s="20"/>
      <c r="F840" s="20"/>
      <c r="G840" s="20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2" customHeight="1" x14ac:dyDescent="0.2">
      <c r="A841" s="5"/>
      <c r="B841" s="20"/>
      <c r="C841" s="20"/>
      <c r="D841" s="20"/>
      <c r="E841" s="20"/>
      <c r="F841" s="20"/>
      <c r="G841" s="20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2" customHeight="1" x14ac:dyDescent="0.2">
      <c r="A842" s="5"/>
      <c r="B842" s="20"/>
      <c r="C842" s="20"/>
      <c r="D842" s="20"/>
      <c r="E842" s="20"/>
      <c r="F842" s="20"/>
      <c r="G842" s="20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2" customHeight="1" x14ac:dyDescent="0.2">
      <c r="A843" s="5"/>
      <c r="B843" s="20"/>
      <c r="C843" s="20"/>
      <c r="D843" s="20"/>
      <c r="E843" s="20"/>
      <c r="F843" s="20"/>
      <c r="G843" s="20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2" customHeight="1" x14ac:dyDescent="0.2">
      <c r="A844" s="5"/>
      <c r="B844" s="20"/>
      <c r="C844" s="20"/>
      <c r="D844" s="20"/>
      <c r="E844" s="20"/>
      <c r="F844" s="20"/>
      <c r="G844" s="20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2" customHeight="1" x14ac:dyDescent="0.2">
      <c r="A845" s="5"/>
      <c r="B845" s="20"/>
      <c r="C845" s="20"/>
      <c r="D845" s="20"/>
      <c r="E845" s="20"/>
      <c r="F845" s="20"/>
      <c r="G845" s="20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2" customHeight="1" x14ac:dyDescent="0.2">
      <c r="A846" s="5"/>
      <c r="B846" s="20"/>
      <c r="C846" s="20"/>
      <c r="D846" s="20"/>
      <c r="E846" s="20"/>
      <c r="F846" s="20"/>
      <c r="G846" s="20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2" customHeight="1" x14ac:dyDescent="0.2">
      <c r="A847" s="5"/>
      <c r="B847" s="20"/>
      <c r="C847" s="20"/>
      <c r="D847" s="20"/>
      <c r="E847" s="20"/>
      <c r="F847" s="20"/>
      <c r="G847" s="20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2" customHeight="1" x14ac:dyDescent="0.2">
      <c r="A848" s="5"/>
      <c r="B848" s="20"/>
      <c r="C848" s="20"/>
      <c r="D848" s="20"/>
      <c r="E848" s="20"/>
      <c r="F848" s="20"/>
      <c r="G848" s="20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2" customHeight="1" x14ac:dyDescent="0.2">
      <c r="A849" s="5"/>
      <c r="B849" s="20"/>
      <c r="C849" s="20"/>
      <c r="D849" s="20"/>
      <c r="E849" s="20"/>
      <c r="F849" s="20"/>
      <c r="G849" s="20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2" customHeight="1" x14ac:dyDescent="0.2">
      <c r="A850" s="5"/>
      <c r="B850" s="20"/>
      <c r="C850" s="20"/>
      <c r="D850" s="20"/>
      <c r="E850" s="20"/>
      <c r="F850" s="20"/>
      <c r="G850" s="20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2" customHeight="1" x14ac:dyDescent="0.2">
      <c r="A851" s="5"/>
      <c r="B851" s="20"/>
      <c r="C851" s="20"/>
      <c r="D851" s="20"/>
      <c r="E851" s="20"/>
      <c r="F851" s="20"/>
      <c r="G851" s="20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2" customHeight="1" x14ac:dyDescent="0.2">
      <c r="A852" s="5"/>
      <c r="B852" s="20"/>
      <c r="C852" s="20"/>
      <c r="D852" s="20"/>
      <c r="E852" s="20"/>
      <c r="F852" s="20"/>
      <c r="G852" s="20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2" customHeight="1" x14ac:dyDescent="0.2">
      <c r="A853" s="5"/>
      <c r="B853" s="20"/>
      <c r="C853" s="20"/>
      <c r="D853" s="20"/>
      <c r="E853" s="20"/>
      <c r="F853" s="20"/>
      <c r="G853" s="20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2" customHeight="1" x14ac:dyDescent="0.2">
      <c r="A854" s="5"/>
      <c r="B854" s="20"/>
      <c r="C854" s="20"/>
      <c r="D854" s="20"/>
      <c r="E854" s="20"/>
      <c r="F854" s="20"/>
      <c r="G854" s="20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2" customHeight="1" x14ac:dyDescent="0.2">
      <c r="A855" s="5"/>
      <c r="B855" s="20"/>
      <c r="C855" s="20"/>
      <c r="D855" s="20"/>
      <c r="E855" s="20"/>
      <c r="F855" s="20"/>
      <c r="G855" s="20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2" customHeight="1" x14ac:dyDescent="0.2">
      <c r="A856" s="5"/>
      <c r="B856" s="20"/>
      <c r="C856" s="20"/>
      <c r="D856" s="20"/>
      <c r="E856" s="20"/>
      <c r="F856" s="20"/>
      <c r="G856" s="20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2" customHeight="1" x14ac:dyDescent="0.2">
      <c r="A857" s="5"/>
      <c r="B857" s="20"/>
      <c r="C857" s="20"/>
      <c r="D857" s="20"/>
      <c r="E857" s="20"/>
      <c r="F857" s="20"/>
      <c r="G857" s="20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2" customHeight="1" x14ac:dyDescent="0.2">
      <c r="A858" s="5"/>
      <c r="B858" s="20"/>
      <c r="C858" s="20"/>
      <c r="D858" s="20"/>
      <c r="E858" s="20"/>
      <c r="F858" s="20"/>
      <c r="G858" s="20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2" customHeight="1" x14ac:dyDescent="0.2">
      <c r="A859" s="5"/>
      <c r="B859" s="20"/>
      <c r="C859" s="20"/>
      <c r="D859" s="20"/>
      <c r="E859" s="20"/>
      <c r="F859" s="20"/>
      <c r="G859" s="20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2" customHeight="1" x14ac:dyDescent="0.2">
      <c r="A860" s="5"/>
      <c r="B860" s="20"/>
      <c r="C860" s="20"/>
      <c r="D860" s="20"/>
      <c r="E860" s="20"/>
      <c r="F860" s="20"/>
      <c r="G860" s="20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2" customHeight="1" x14ac:dyDescent="0.2">
      <c r="A861" s="5"/>
      <c r="B861" s="20"/>
      <c r="C861" s="20"/>
      <c r="D861" s="20"/>
      <c r="E861" s="20"/>
      <c r="F861" s="20"/>
      <c r="G861" s="20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2" customHeight="1" x14ac:dyDescent="0.2">
      <c r="A862" s="5"/>
      <c r="B862" s="20"/>
      <c r="C862" s="20"/>
      <c r="D862" s="20"/>
      <c r="E862" s="20"/>
      <c r="F862" s="20"/>
      <c r="G862" s="20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2" customHeight="1" x14ac:dyDescent="0.2">
      <c r="A863" s="5"/>
      <c r="B863" s="20"/>
      <c r="C863" s="20"/>
      <c r="D863" s="20"/>
      <c r="E863" s="20"/>
      <c r="F863" s="20"/>
      <c r="G863" s="20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2" customHeight="1" x14ac:dyDescent="0.2">
      <c r="A864" s="5"/>
      <c r="B864" s="20"/>
      <c r="C864" s="20"/>
      <c r="D864" s="20"/>
      <c r="E864" s="20"/>
      <c r="F864" s="20"/>
      <c r="G864" s="20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2" customHeight="1" x14ac:dyDescent="0.2">
      <c r="A865" s="5"/>
      <c r="B865" s="20"/>
      <c r="C865" s="20"/>
      <c r="D865" s="20"/>
      <c r="E865" s="20"/>
      <c r="F865" s="20"/>
      <c r="G865" s="20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2" customHeight="1" x14ac:dyDescent="0.2">
      <c r="A866" s="5"/>
      <c r="B866" s="20"/>
      <c r="C866" s="20"/>
      <c r="D866" s="20"/>
      <c r="E866" s="20"/>
      <c r="F866" s="20"/>
      <c r="G866" s="20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2" customHeight="1" x14ac:dyDescent="0.2">
      <c r="A867" s="5"/>
      <c r="B867" s="20"/>
      <c r="C867" s="20"/>
      <c r="D867" s="20"/>
      <c r="E867" s="20"/>
      <c r="F867" s="20"/>
      <c r="G867" s="20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2" customHeight="1" x14ac:dyDescent="0.2">
      <c r="A868" s="5"/>
      <c r="B868" s="20"/>
      <c r="C868" s="20"/>
      <c r="D868" s="20"/>
      <c r="E868" s="20"/>
      <c r="F868" s="20"/>
      <c r="G868" s="20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2" customHeight="1" x14ac:dyDescent="0.2">
      <c r="A869" s="5"/>
      <c r="B869" s="20"/>
      <c r="C869" s="20"/>
      <c r="D869" s="20"/>
      <c r="E869" s="20"/>
      <c r="F869" s="20"/>
      <c r="G869" s="20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2" customHeight="1" x14ac:dyDescent="0.2">
      <c r="A870" s="5"/>
      <c r="B870" s="20"/>
      <c r="C870" s="20"/>
      <c r="D870" s="20"/>
      <c r="E870" s="20"/>
      <c r="F870" s="20"/>
      <c r="G870" s="20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2" customHeight="1" x14ac:dyDescent="0.2">
      <c r="A871" s="5"/>
      <c r="B871" s="20"/>
      <c r="C871" s="20"/>
      <c r="D871" s="20"/>
      <c r="E871" s="20"/>
      <c r="F871" s="20"/>
      <c r="G871" s="20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2" customHeight="1" x14ac:dyDescent="0.2">
      <c r="A872" s="5"/>
      <c r="B872" s="20"/>
      <c r="C872" s="20"/>
      <c r="D872" s="20"/>
      <c r="E872" s="20"/>
      <c r="F872" s="20"/>
      <c r="G872" s="20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2" customHeight="1" x14ac:dyDescent="0.2">
      <c r="A873" s="5"/>
      <c r="B873" s="20"/>
      <c r="C873" s="20"/>
      <c r="D873" s="20"/>
      <c r="E873" s="20"/>
      <c r="F873" s="20"/>
      <c r="G873" s="20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2" customHeight="1" x14ac:dyDescent="0.2">
      <c r="A874" s="5"/>
      <c r="B874" s="20"/>
      <c r="C874" s="20"/>
      <c r="D874" s="20"/>
      <c r="E874" s="20"/>
      <c r="F874" s="20"/>
      <c r="G874" s="20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2" customHeight="1" x14ac:dyDescent="0.2">
      <c r="A875" s="5"/>
      <c r="B875" s="20"/>
      <c r="C875" s="20"/>
      <c r="D875" s="20"/>
      <c r="E875" s="20"/>
      <c r="F875" s="20"/>
      <c r="G875" s="20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2" customHeight="1" x14ac:dyDescent="0.2">
      <c r="A876" s="5"/>
      <c r="B876" s="20"/>
      <c r="C876" s="20"/>
      <c r="D876" s="20"/>
      <c r="E876" s="20"/>
      <c r="F876" s="20"/>
      <c r="G876" s="20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2" customHeight="1" x14ac:dyDescent="0.2">
      <c r="A877" s="5"/>
      <c r="B877" s="20"/>
      <c r="C877" s="20"/>
      <c r="D877" s="20"/>
      <c r="E877" s="20"/>
      <c r="F877" s="20"/>
      <c r="G877" s="20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2" customHeight="1" x14ac:dyDescent="0.2">
      <c r="A878" s="5"/>
      <c r="B878" s="20"/>
      <c r="C878" s="20"/>
      <c r="D878" s="20"/>
      <c r="E878" s="20"/>
      <c r="F878" s="20"/>
      <c r="G878" s="20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2" customHeight="1" x14ac:dyDescent="0.2">
      <c r="A879" s="5"/>
      <c r="B879" s="20"/>
      <c r="C879" s="20"/>
      <c r="D879" s="20"/>
      <c r="E879" s="20"/>
      <c r="F879" s="20"/>
      <c r="G879" s="20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2" customHeight="1" x14ac:dyDescent="0.2">
      <c r="A880" s="5"/>
      <c r="B880" s="20"/>
      <c r="C880" s="20"/>
      <c r="D880" s="20"/>
      <c r="E880" s="20"/>
      <c r="F880" s="20"/>
      <c r="G880" s="20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2" customHeight="1" x14ac:dyDescent="0.2">
      <c r="A881" s="5"/>
      <c r="B881" s="20"/>
      <c r="C881" s="20"/>
      <c r="D881" s="20"/>
      <c r="E881" s="20"/>
      <c r="F881" s="20"/>
      <c r="G881" s="20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2" customHeight="1" x14ac:dyDescent="0.2">
      <c r="A882" s="5"/>
      <c r="B882" s="20"/>
      <c r="C882" s="20"/>
      <c r="D882" s="20"/>
      <c r="E882" s="20"/>
      <c r="F882" s="20"/>
      <c r="G882" s="20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2" customHeight="1" x14ac:dyDescent="0.2">
      <c r="A883" s="5"/>
      <c r="B883" s="20"/>
      <c r="C883" s="20"/>
      <c r="D883" s="20"/>
      <c r="E883" s="20"/>
      <c r="F883" s="20"/>
      <c r="G883" s="20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2" customHeight="1" x14ac:dyDescent="0.2">
      <c r="A884" s="5"/>
      <c r="B884" s="20"/>
      <c r="C884" s="20"/>
      <c r="D884" s="20"/>
      <c r="E884" s="20"/>
      <c r="F884" s="20"/>
      <c r="G884" s="20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2" customHeight="1" x14ac:dyDescent="0.2">
      <c r="A885" s="5"/>
      <c r="B885" s="20"/>
      <c r="C885" s="20"/>
      <c r="D885" s="20"/>
      <c r="E885" s="20"/>
      <c r="F885" s="20"/>
      <c r="G885" s="20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2" customHeight="1" x14ac:dyDescent="0.2">
      <c r="A886" s="5"/>
      <c r="B886" s="20"/>
      <c r="C886" s="20"/>
      <c r="D886" s="20"/>
      <c r="E886" s="20"/>
      <c r="F886" s="20"/>
      <c r="G886" s="20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2" customHeight="1" x14ac:dyDescent="0.2">
      <c r="A887" s="5"/>
      <c r="B887" s="20"/>
      <c r="C887" s="20"/>
      <c r="D887" s="20"/>
      <c r="E887" s="20"/>
      <c r="F887" s="20"/>
      <c r="G887" s="20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2" customHeight="1" x14ac:dyDescent="0.2">
      <c r="A888" s="5"/>
      <c r="B888" s="20"/>
      <c r="C888" s="20"/>
      <c r="D888" s="20"/>
      <c r="E888" s="20"/>
      <c r="F888" s="20"/>
      <c r="G888" s="20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2" customHeight="1" x14ac:dyDescent="0.2">
      <c r="A889" s="5"/>
      <c r="B889" s="20"/>
      <c r="C889" s="20"/>
      <c r="D889" s="20"/>
      <c r="E889" s="20"/>
      <c r="F889" s="20"/>
      <c r="G889" s="20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2" customHeight="1" x14ac:dyDescent="0.2">
      <c r="A890" s="5"/>
      <c r="B890" s="20"/>
      <c r="C890" s="20"/>
      <c r="D890" s="20"/>
      <c r="E890" s="20"/>
      <c r="F890" s="20"/>
      <c r="G890" s="20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2" customHeight="1" x14ac:dyDescent="0.2">
      <c r="A891" s="5"/>
      <c r="B891" s="20"/>
      <c r="C891" s="20"/>
      <c r="D891" s="20"/>
      <c r="E891" s="20"/>
      <c r="F891" s="20"/>
      <c r="G891" s="20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2" customHeight="1" x14ac:dyDescent="0.2">
      <c r="A892" s="5"/>
      <c r="B892" s="20"/>
      <c r="C892" s="20"/>
      <c r="D892" s="20"/>
      <c r="E892" s="20"/>
      <c r="F892" s="20"/>
      <c r="G892" s="20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2" customHeight="1" x14ac:dyDescent="0.2">
      <c r="A893" s="5"/>
      <c r="B893" s="20"/>
      <c r="C893" s="20"/>
      <c r="D893" s="20"/>
      <c r="E893" s="20"/>
      <c r="F893" s="20"/>
      <c r="G893" s="20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2" customHeight="1" x14ac:dyDescent="0.2">
      <c r="A894" s="5"/>
      <c r="B894" s="20"/>
      <c r="C894" s="20"/>
      <c r="D894" s="20"/>
      <c r="E894" s="20"/>
      <c r="F894" s="20"/>
      <c r="G894" s="20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2" customHeight="1" x14ac:dyDescent="0.2">
      <c r="A895" s="5"/>
      <c r="B895" s="20"/>
      <c r="C895" s="20"/>
      <c r="D895" s="20"/>
      <c r="E895" s="20"/>
      <c r="F895" s="20"/>
      <c r="G895" s="20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2" customHeight="1" x14ac:dyDescent="0.2">
      <c r="A896" s="5"/>
      <c r="B896" s="20"/>
      <c r="C896" s="20"/>
      <c r="D896" s="20"/>
      <c r="E896" s="20"/>
      <c r="F896" s="20"/>
      <c r="G896" s="20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2" customHeight="1" x14ac:dyDescent="0.2">
      <c r="A897" s="5"/>
      <c r="B897" s="20"/>
      <c r="C897" s="20"/>
      <c r="D897" s="20"/>
      <c r="E897" s="20"/>
      <c r="F897" s="20"/>
      <c r="G897" s="20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2" customHeight="1" x14ac:dyDescent="0.2">
      <c r="A898" s="5"/>
      <c r="B898" s="20"/>
      <c r="C898" s="20"/>
      <c r="D898" s="20"/>
      <c r="E898" s="20"/>
      <c r="F898" s="20"/>
      <c r="G898" s="20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2" customHeight="1" x14ac:dyDescent="0.2">
      <c r="A899" s="5"/>
      <c r="B899" s="20"/>
      <c r="C899" s="20"/>
      <c r="D899" s="20"/>
      <c r="E899" s="20"/>
      <c r="F899" s="20"/>
      <c r="G899" s="20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2" customHeight="1" x14ac:dyDescent="0.2">
      <c r="A900" s="5"/>
      <c r="B900" s="20"/>
      <c r="C900" s="20"/>
      <c r="D900" s="20"/>
      <c r="E900" s="20"/>
      <c r="F900" s="20"/>
      <c r="G900" s="20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2" customHeight="1" x14ac:dyDescent="0.2">
      <c r="A901" s="5"/>
      <c r="B901" s="20"/>
      <c r="C901" s="20"/>
      <c r="D901" s="20"/>
      <c r="E901" s="20"/>
      <c r="F901" s="20"/>
      <c r="G901" s="20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2" customHeight="1" x14ac:dyDescent="0.2">
      <c r="A902" s="5"/>
      <c r="B902" s="20"/>
      <c r="C902" s="20"/>
      <c r="D902" s="20"/>
      <c r="E902" s="20"/>
      <c r="F902" s="20"/>
      <c r="G902" s="20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2" customHeight="1" x14ac:dyDescent="0.2">
      <c r="A903" s="5"/>
      <c r="B903" s="20"/>
      <c r="C903" s="20"/>
      <c r="D903" s="20"/>
      <c r="E903" s="20"/>
      <c r="F903" s="20"/>
      <c r="G903" s="20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2" customHeight="1" x14ac:dyDescent="0.2">
      <c r="A904" s="5"/>
      <c r="B904" s="20"/>
      <c r="C904" s="20"/>
      <c r="D904" s="20"/>
      <c r="E904" s="20"/>
      <c r="F904" s="20"/>
      <c r="G904" s="20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2" customHeight="1" x14ac:dyDescent="0.2">
      <c r="A905" s="5"/>
      <c r="B905" s="20"/>
      <c r="C905" s="20"/>
      <c r="D905" s="20"/>
      <c r="E905" s="20"/>
      <c r="F905" s="20"/>
      <c r="G905" s="20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2" customHeight="1" x14ac:dyDescent="0.2">
      <c r="A906" s="5"/>
      <c r="B906" s="20"/>
      <c r="C906" s="20"/>
      <c r="D906" s="20"/>
      <c r="E906" s="20"/>
      <c r="F906" s="20"/>
      <c r="G906" s="20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2" customHeight="1" x14ac:dyDescent="0.2">
      <c r="A907" s="5"/>
      <c r="B907" s="20"/>
      <c r="C907" s="20"/>
      <c r="D907" s="20"/>
      <c r="E907" s="20"/>
      <c r="F907" s="20"/>
      <c r="G907" s="20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2" customHeight="1" x14ac:dyDescent="0.2">
      <c r="A908" s="5"/>
      <c r="B908" s="20"/>
      <c r="C908" s="20"/>
      <c r="D908" s="20"/>
      <c r="E908" s="20"/>
      <c r="F908" s="20"/>
      <c r="G908" s="20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2" customHeight="1" x14ac:dyDescent="0.2">
      <c r="A909" s="5"/>
      <c r="B909" s="20"/>
      <c r="C909" s="20"/>
      <c r="D909" s="20"/>
      <c r="E909" s="20"/>
      <c r="F909" s="20"/>
      <c r="G909" s="20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2" customHeight="1" x14ac:dyDescent="0.2">
      <c r="A910" s="5"/>
      <c r="B910" s="20"/>
      <c r="C910" s="20"/>
      <c r="D910" s="20"/>
      <c r="E910" s="20"/>
      <c r="F910" s="20"/>
      <c r="G910" s="20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2" customHeight="1" x14ac:dyDescent="0.2">
      <c r="A911" s="5"/>
      <c r="B911" s="20"/>
      <c r="C911" s="20"/>
      <c r="D911" s="20"/>
      <c r="E911" s="20"/>
      <c r="F911" s="20"/>
      <c r="G911" s="20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2" customHeight="1" x14ac:dyDescent="0.2">
      <c r="A912" s="5"/>
      <c r="B912" s="20"/>
      <c r="C912" s="20"/>
      <c r="D912" s="20"/>
      <c r="E912" s="20"/>
      <c r="F912" s="20"/>
      <c r="G912" s="20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2" customHeight="1" x14ac:dyDescent="0.2">
      <c r="A913" s="5"/>
      <c r="B913" s="20"/>
      <c r="C913" s="20"/>
      <c r="D913" s="20"/>
      <c r="E913" s="20"/>
      <c r="F913" s="20"/>
      <c r="G913" s="20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2" customHeight="1" x14ac:dyDescent="0.2">
      <c r="A914" s="5"/>
      <c r="B914" s="20"/>
      <c r="C914" s="20"/>
      <c r="D914" s="20"/>
      <c r="E914" s="20"/>
      <c r="F914" s="20"/>
      <c r="G914" s="20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2" customHeight="1" x14ac:dyDescent="0.2">
      <c r="A915" s="5"/>
      <c r="B915" s="20"/>
      <c r="C915" s="20"/>
      <c r="D915" s="20"/>
      <c r="E915" s="20"/>
      <c r="F915" s="20"/>
      <c r="G915" s="20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2" customHeight="1" x14ac:dyDescent="0.2">
      <c r="A916" s="5"/>
      <c r="B916" s="20"/>
      <c r="C916" s="20"/>
      <c r="D916" s="20"/>
      <c r="E916" s="20"/>
      <c r="F916" s="20"/>
      <c r="G916" s="20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2" customHeight="1" x14ac:dyDescent="0.2">
      <c r="A917" s="5"/>
      <c r="B917" s="20"/>
      <c r="C917" s="20"/>
      <c r="D917" s="20"/>
      <c r="E917" s="20"/>
      <c r="F917" s="20"/>
      <c r="G917" s="20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2" customHeight="1" x14ac:dyDescent="0.2">
      <c r="A918" s="5"/>
      <c r="B918" s="20"/>
      <c r="C918" s="20"/>
      <c r="D918" s="20"/>
      <c r="E918" s="20"/>
      <c r="F918" s="20"/>
      <c r="G918" s="20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2" customHeight="1" x14ac:dyDescent="0.2">
      <c r="A919" s="5"/>
      <c r="B919" s="20"/>
      <c r="C919" s="20"/>
      <c r="D919" s="20"/>
      <c r="E919" s="20"/>
      <c r="F919" s="20"/>
      <c r="G919" s="20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2" customHeight="1" x14ac:dyDescent="0.2">
      <c r="A920" s="5"/>
      <c r="B920" s="20"/>
      <c r="C920" s="20"/>
      <c r="D920" s="20"/>
      <c r="E920" s="20"/>
      <c r="F920" s="20"/>
      <c r="G920" s="20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2" customHeight="1" x14ac:dyDescent="0.2">
      <c r="A921" s="5"/>
      <c r="B921" s="20"/>
      <c r="C921" s="20"/>
      <c r="D921" s="20"/>
      <c r="E921" s="20"/>
      <c r="F921" s="20"/>
      <c r="G921" s="20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2" customHeight="1" x14ac:dyDescent="0.2">
      <c r="A922" s="5"/>
      <c r="B922" s="20"/>
      <c r="C922" s="20"/>
      <c r="D922" s="20"/>
      <c r="E922" s="20"/>
      <c r="F922" s="20"/>
      <c r="G922" s="20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2" customHeight="1" x14ac:dyDescent="0.2">
      <c r="A923" s="5"/>
      <c r="B923" s="20"/>
      <c r="C923" s="20"/>
      <c r="D923" s="20"/>
      <c r="E923" s="20"/>
      <c r="F923" s="20"/>
      <c r="G923" s="20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2" customHeight="1" x14ac:dyDescent="0.2">
      <c r="A924" s="5"/>
      <c r="B924" s="20"/>
      <c r="C924" s="20"/>
      <c r="D924" s="20"/>
      <c r="E924" s="20"/>
      <c r="F924" s="20"/>
      <c r="G924" s="20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2" customHeight="1" x14ac:dyDescent="0.2">
      <c r="A925" s="5"/>
      <c r="B925" s="20"/>
      <c r="C925" s="20"/>
      <c r="D925" s="20"/>
      <c r="E925" s="20"/>
      <c r="F925" s="20"/>
      <c r="G925" s="20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2" customHeight="1" x14ac:dyDescent="0.2">
      <c r="A926" s="5"/>
      <c r="B926" s="20"/>
      <c r="C926" s="20"/>
      <c r="D926" s="20"/>
      <c r="E926" s="20"/>
      <c r="F926" s="20"/>
      <c r="G926" s="20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2" customHeight="1" x14ac:dyDescent="0.2">
      <c r="A927" s="5"/>
      <c r="B927" s="20"/>
      <c r="C927" s="20"/>
      <c r="D927" s="20"/>
      <c r="E927" s="20"/>
      <c r="F927" s="20"/>
      <c r="G927" s="20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2" customHeight="1" x14ac:dyDescent="0.2">
      <c r="A928" s="5"/>
      <c r="B928" s="20"/>
      <c r="C928" s="20"/>
      <c r="D928" s="20"/>
      <c r="E928" s="20"/>
      <c r="F928" s="20"/>
      <c r="G928" s="20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2" customHeight="1" x14ac:dyDescent="0.2">
      <c r="A929" s="5"/>
      <c r="B929" s="20"/>
      <c r="C929" s="20"/>
      <c r="D929" s="20"/>
      <c r="E929" s="20"/>
      <c r="F929" s="20"/>
      <c r="G929" s="20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2" customHeight="1" x14ac:dyDescent="0.2">
      <c r="A930" s="5"/>
      <c r="B930" s="20"/>
      <c r="C930" s="20"/>
      <c r="D930" s="20"/>
      <c r="E930" s="20"/>
      <c r="F930" s="20"/>
      <c r="G930" s="20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2" customHeight="1" x14ac:dyDescent="0.2">
      <c r="A931" s="5"/>
      <c r="B931" s="20"/>
      <c r="C931" s="20"/>
      <c r="D931" s="20"/>
      <c r="E931" s="20"/>
      <c r="F931" s="20"/>
      <c r="G931" s="20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2" customHeight="1" x14ac:dyDescent="0.2">
      <c r="A932" s="5"/>
      <c r="B932" s="20"/>
      <c r="C932" s="20"/>
      <c r="D932" s="20"/>
      <c r="E932" s="20"/>
      <c r="F932" s="20"/>
      <c r="G932" s="20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2" customHeight="1" x14ac:dyDescent="0.2">
      <c r="A933" s="5"/>
      <c r="B933" s="20"/>
      <c r="C933" s="20"/>
      <c r="D933" s="20"/>
      <c r="E933" s="20"/>
      <c r="F933" s="20"/>
      <c r="G933" s="20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2" customHeight="1" x14ac:dyDescent="0.2">
      <c r="A934" s="5"/>
      <c r="B934" s="20"/>
      <c r="C934" s="20"/>
      <c r="D934" s="20"/>
      <c r="E934" s="20"/>
      <c r="F934" s="20"/>
      <c r="G934" s="20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2" customHeight="1" x14ac:dyDescent="0.2">
      <c r="A935" s="5"/>
      <c r="B935" s="20"/>
      <c r="C935" s="20"/>
      <c r="D935" s="20"/>
      <c r="E935" s="20"/>
      <c r="F935" s="20"/>
      <c r="G935" s="20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2" customHeight="1" x14ac:dyDescent="0.2">
      <c r="A936" s="5"/>
      <c r="B936" s="20"/>
      <c r="C936" s="20"/>
      <c r="D936" s="20"/>
      <c r="E936" s="20"/>
      <c r="F936" s="20"/>
      <c r="G936" s="20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2" customHeight="1" x14ac:dyDescent="0.2">
      <c r="A937" s="5"/>
      <c r="B937" s="20"/>
      <c r="C937" s="20"/>
      <c r="D937" s="20"/>
      <c r="E937" s="20"/>
      <c r="F937" s="20"/>
      <c r="G937" s="20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2" customHeight="1" x14ac:dyDescent="0.2">
      <c r="A938" s="5"/>
      <c r="B938" s="20"/>
      <c r="C938" s="20"/>
      <c r="D938" s="20"/>
      <c r="E938" s="20"/>
      <c r="F938" s="20"/>
      <c r="G938" s="20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2" customHeight="1" x14ac:dyDescent="0.2">
      <c r="A939" s="5"/>
      <c r="B939" s="20"/>
      <c r="C939" s="20"/>
      <c r="D939" s="20"/>
      <c r="E939" s="20"/>
      <c r="F939" s="20"/>
      <c r="G939" s="20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2" customHeight="1" x14ac:dyDescent="0.2">
      <c r="A940" s="5"/>
      <c r="B940" s="20"/>
      <c r="C940" s="20"/>
      <c r="D940" s="20"/>
      <c r="E940" s="20"/>
      <c r="F940" s="20"/>
      <c r="G940" s="20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2" customHeight="1" x14ac:dyDescent="0.2">
      <c r="A941" s="5"/>
      <c r="B941" s="20"/>
      <c r="C941" s="20"/>
      <c r="D941" s="20"/>
      <c r="E941" s="20"/>
      <c r="F941" s="20"/>
      <c r="G941" s="20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2" customHeight="1" x14ac:dyDescent="0.2">
      <c r="A942" s="5"/>
      <c r="B942" s="20"/>
      <c r="C942" s="20"/>
      <c r="D942" s="20"/>
      <c r="E942" s="20"/>
      <c r="F942" s="20"/>
      <c r="G942" s="20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2" customHeight="1" x14ac:dyDescent="0.2">
      <c r="A943" s="5"/>
      <c r="B943" s="20"/>
      <c r="C943" s="20"/>
      <c r="D943" s="20"/>
      <c r="E943" s="20"/>
      <c r="F943" s="20"/>
      <c r="G943" s="20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2" customHeight="1" x14ac:dyDescent="0.2">
      <c r="A944" s="5"/>
      <c r="B944" s="20"/>
      <c r="C944" s="20"/>
      <c r="D944" s="20"/>
      <c r="E944" s="20"/>
      <c r="F944" s="20"/>
      <c r="G944" s="20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2" customHeight="1" x14ac:dyDescent="0.2">
      <c r="A945" s="5"/>
      <c r="B945" s="20"/>
      <c r="C945" s="20"/>
      <c r="D945" s="20"/>
      <c r="E945" s="20"/>
      <c r="F945" s="20"/>
      <c r="G945" s="20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2" customHeight="1" x14ac:dyDescent="0.2">
      <c r="A946" s="5"/>
      <c r="B946" s="20"/>
      <c r="C946" s="20"/>
      <c r="D946" s="20"/>
      <c r="E946" s="20"/>
      <c r="F946" s="20"/>
      <c r="G946" s="20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2" customHeight="1" x14ac:dyDescent="0.2">
      <c r="A947" s="5"/>
      <c r="B947" s="20"/>
      <c r="C947" s="20"/>
      <c r="D947" s="20"/>
      <c r="E947" s="20"/>
      <c r="F947" s="20"/>
      <c r="G947" s="20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2" customHeight="1" x14ac:dyDescent="0.2">
      <c r="A948" s="5"/>
      <c r="B948" s="20"/>
      <c r="C948" s="20"/>
      <c r="D948" s="20"/>
      <c r="E948" s="20"/>
      <c r="F948" s="20"/>
      <c r="G948" s="20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2" customHeight="1" x14ac:dyDescent="0.2">
      <c r="A949" s="5"/>
      <c r="B949" s="20"/>
      <c r="C949" s="20"/>
      <c r="D949" s="20"/>
      <c r="E949" s="20"/>
      <c r="F949" s="20"/>
      <c r="G949" s="20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2" customHeight="1" x14ac:dyDescent="0.2">
      <c r="A950" s="5"/>
      <c r="B950" s="20"/>
      <c r="C950" s="20"/>
      <c r="D950" s="20"/>
      <c r="E950" s="20"/>
      <c r="F950" s="20"/>
      <c r="G950" s="20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2" customHeight="1" x14ac:dyDescent="0.2">
      <c r="A951" s="5"/>
      <c r="B951" s="20"/>
      <c r="C951" s="20"/>
      <c r="D951" s="20"/>
      <c r="E951" s="20"/>
      <c r="F951" s="20"/>
      <c r="G951" s="20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2" customHeight="1" x14ac:dyDescent="0.2">
      <c r="A952" s="5"/>
      <c r="B952" s="20"/>
      <c r="C952" s="20"/>
      <c r="D952" s="20"/>
      <c r="E952" s="20"/>
      <c r="F952" s="20"/>
      <c r="G952" s="20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2" customHeight="1" x14ac:dyDescent="0.2">
      <c r="A953" s="5"/>
      <c r="B953" s="20"/>
      <c r="C953" s="20"/>
      <c r="D953" s="20"/>
      <c r="E953" s="20"/>
      <c r="F953" s="20"/>
      <c r="G953" s="20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2" customHeight="1" x14ac:dyDescent="0.2">
      <c r="A954" s="5"/>
      <c r="B954" s="20"/>
      <c r="C954" s="20"/>
      <c r="D954" s="20"/>
      <c r="E954" s="20"/>
      <c r="F954" s="20"/>
      <c r="G954" s="20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2" customHeight="1" x14ac:dyDescent="0.2">
      <c r="A955" s="5"/>
      <c r="B955" s="20"/>
      <c r="C955" s="20"/>
      <c r="D955" s="20"/>
      <c r="E955" s="20"/>
      <c r="F955" s="20"/>
      <c r="G955" s="20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2" customHeight="1" x14ac:dyDescent="0.2">
      <c r="A956" s="5"/>
      <c r="B956" s="20"/>
      <c r="C956" s="20"/>
      <c r="D956" s="20"/>
      <c r="E956" s="20"/>
      <c r="F956" s="20"/>
      <c r="G956" s="20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2" customHeight="1" x14ac:dyDescent="0.2">
      <c r="A957" s="5"/>
      <c r="B957" s="20"/>
      <c r="C957" s="20"/>
      <c r="D957" s="20"/>
      <c r="E957" s="20"/>
      <c r="F957" s="20"/>
      <c r="G957" s="20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2" customHeight="1" x14ac:dyDescent="0.2">
      <c r="A958" s="5"/>
      <c r="B958" s="20"/>
      <c r="C958" s="20"/>
      <c r="D958" s="20"/>
      <c r="E958" s="20"/>
      <c r="F958" s="20"/>
      <c r="G958" s="20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2" customHeight="1" x14ac:dyDescent="0.2">
      <c r="A959" s="5"/>
      <c r="B959" s="20"/>
      <c r="C959" s="20"/>
      <c r="D959" s="20"/>
      <c r="E959" s="20"/>
      <c r="F959" s="20"/>
      <c r="G959" s="20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</sheetData>
  <pageMargins left="0.70000000000000007" right="0.7000000000000000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4"/>
  <sheetViews>
    <sheetView workbookViewId="0">
      <selection activeCell="L21" sqref="L21"/>
    </sheetView>
  </sheetViews>
  <sheetFormatPr baseColWidth="10" defaultColWidth="14.42578125" defaultRowHeight="15" customHeight="1" x14ac:dyDescent="0.2"/>
  <cols>
    <col min="1" max="1" width="10.5703125" customWidth="1"/>
    <col min="2" max="2" width="13.28515625" customWidth="1"/>
    <col min="3" max="3" width="13.28515625" style="90" customWidth="1"/>
    <col min="4" max="7" width="13.28515625" customWidth="1"/>
    <col min="8" max="24" width="10.7109375" customWidth="1"/>
  </cols>
  <sheetData>
    <row r="1" spans="1:7" ht="40.5" customHeight="1" x14ac:dyDescent="0.2">
      <c r="A1" s="21"/>
      <c r="B1" s="22" t="s">
        <v>40</v>
      </c>
      <c r="C1" s="22" t="s">
        <v>229</v>
      </c>
      <c r="D1" s="22" t="s">
        <v>41</v>
      </c>
      <c r="E1" s="22" t="s">
        <v>42</v>
      </c>
      <c r="F1" s="22" t="s">
        <v>177</v>
      </c>
      <c r="G1" s="22" t="s">
        <v>209</v>
      </c>
    </row>
    <row r="2" spans="1:7" ht="12.75" customHeight="1" x14ac:dyDescent="0.2">
      <c r="A2" s="23" t="s">
        <v>43</v>
      </c>
      <c r="B2" s="24">
        <f>+(6+2.5)*4</f>
        <v>34</v>
      </c>
      <c r="C2" s="24"/>
      <c r="D2" s="24">
        <f>+(3.3+5.4+3.5+3+1.3+2.7)*4</f>
        <v>76.8</v>
      </c>
      <c r="E2" s="24">
        <f>3.5*4</f>
        <v>14</v>
      </c>
      <c r="F2" s="24"/>
      <c r="G2" s="24">
        <f>+(21.36*2+8.66)*4*0.3</f>
        <v>61.655999999999992</v>
      </c>
    </row>
    <row r="3" spans="1:7" ht="12.75" customHeight="1" x14ac:dyDescent="0.2">
      <c r="A3" s="25">
        <v>1</v>
      </c>
      <c r="B3" s="24">
        <f>+(7.2+6.4+2)*2.8</f>
        <v>43.68</v>
      </c>
      <c r="C3" s="24">
        <f>+(8.36*2)*2.8-1.5*2*6</f>
        <v>28.815999999999995</v>
      </c>
      <c r="D3" s="24">
        <f>+(4.7+1.1+1.8+2.2+4+5.2)*2.8</f>
        <v>53.199999999999996</v>
      </c>
      <c r="E3" s="24">
        <f>+(0.4+1+1.5+3.1+4.5+4.1+0.7+1.6+1.7*2+0.4+0.8+2.1+0.7*2+2.6+0.7+1)*2.8</f>
        <v>82.039999999999992</v>
      </c>
      <c r="F3" s="24"/>
      <c r="G3" s="24">
        <f>+(18.4*2)*3*0.3</f>
        <v>33.119999999999997</v>
      </c>
    </row>
    <row r="4" spans="1:7" ht="12.75" customHeight="1" x14ac:dyDescent="0.2">
      <c r="A4" s="25">
        <v>2</v>
      </c>
      <c r="B4" s="24">
        <f t="shared" ref="B4:B6" si="0">+(7.2+6.4+2)*2.8</f>
        <v>43.68</v>
      </c>
      <c r="C4" s="24">
        <f t="shared" ref="C4:C6" si="1">+(8.36*2)*2.8-1.5*2*6</f>
        <v>28.815999999999995</v>
      </c>
      <c r="D4" s="24">
        <f t="shared" ref="D4:D11" si="2">+(4.7+1.1+1.8+2.2+4+5.2)*2.8</f>
        <v>53.199999999999996</v>
      </c>
      <c r="E4" s="24">
        <f t="shared" ref="E4:E6" si="3">+(0.4+1+1.5+3.1+4.5+4.1+0.7+1.6+1.7*2+0.4+0.8+2.1+0.7*2+2.6+0.7+1)*2.8</f>
        <v>82.039999999999992</v>
      </c>
      <c r="F4" s="24"/>
      <c r="G4" s="24">
        <f t="shared" ref="G4:G6" si="4">+(18.4*2)*3*0.3</f>
        <v>33.119999999999997</v>
      </c>
    </row>
    <row r="5" spans="1:7" ht="12.75" customHeight="1" x14ac:dyDescent="0.2">
      <c r="A5" s="25">
        <v>3</v>
      </c>
      <c r="B5" s="24">
        <f t="shared" si="0"/>
        <v>43.68</v>
      </c>
      <c r="C5" s="24">
        <f t="shared" si="1"/>
        <v>28.815999999999995</v>
      </c>
      <c r="D5" s="24">
        <f t="shared" si="2"/>
        <v>53.199999999999996</v>
      </c>
      <c r="E5" s="24">
        <f t="shared" si="3"/>
        <v>82.039999999999992</v>
      </c>
      <c r="F5" s="24"/>
      <c r="G5" s="24">
        <f t="shared" si="4"/>
        <v>33.119999999999997</v>
      </c>
    </row>
    <row r="6" spans="1:7" ht="12.75" customHeight="1" x14ac:dyDescent="0.2">
      <c r="A6" s="25">
        <v>4</v>
      </c>
      <c r="B6" s="24">
        <f t="shared" si="0"/>
        <v>43.68</v>
      </c>
      <c r="C6" s="24">
        <f t="shared" si="1"/>
        <v>28.815999999999995</v>
      </c>
      <c r="D6" s="24">
        <f t="shared" si="2"/>
        <v>53.199999999999996</v>
      </c>
      <c r="E6" s="24">
        <f t="shared" si="3"/>
        <v>82.039999999999992</v>
      </c>
      <c r="F6" s="24"/>
      <c r="G6" s="24">
        <f t="shared" si="4"/>
        <v>33.119999999999997</v>
      </c>
    </row>
    <row r="7" spans="1:7" ht="12.75" customHeight="1" x14ac:dyDescent="0.2">
      <c r="A7" s="25">
        <v>5</v>
      </c>
      <c r="B7" s="24">
        <f>+(6.8+6.4+2)*2.8</f>
        <v>42.559999999999995</v>
      </c>
      <c r="C7" s="24">
        <f>+(8.36*2)*2.8-1.5*2*6</f>
        <v>28.815999999999995</v>
      </c>
      <c r="D7" s="24">
        <f t="shared" si="2"/>
        <v>53.199999999999996</v>
      </c>
      <c r="E7" s="24">
        <f>+(0.4+1+1.5+3+4+2.8+0.7+1.7+2.6+0.4+2.1+0.7*2+2.1+2.7+1)*2.8</f>
        <v>76.719999999999985</v>
      </c>
      <c r="F7" s="24">
        <f>+(18.4*2)*2.8</f>
        <v>103.03999999999999</v>
      </c>
      <c r="G7" s="24">
        <f>+(18.4*2)*3*0.15</f>
        <v>16.559999999999999</v>
      </c>
    </row>
    <row r="8" spans="1:7" ht="12.75" customHeight="1" x14ac:dyDescent="0.2">
      <c r="A8" s="25">
        <v>6</v>
      </c>
      <c r="B8" s="24">
        <f>+(5.9+6.4+2)*2.8</f>
        <v>40.04</v>
      </c>
      <c r="C8" s="24">
        <f>+(8.36*2)*2.8-1.5*2*6</f>
        <v>28.815999999999995</v>
      </c>
      <c r="D8" s="24">
        <f t="shared" si="2"/>
        <v>53.199999999999996</v>
      </c>
      <c r="E8" s="24">
        <f>+(0.4+1+1.5+3+3.1+2.8+0.7+1.7+2.6+0.4+2.1+0.7*2+2.1+2.7+1)*2.8</f>
        <v>74.199999999999989</v>
      </c>
      <c r="F8" s="24">
        <f>+(18.4*2)*2.8</f>
        <v>103.03999999999999</v>
      </c>
      <c r="G8" s="24">
        <f>+(18.4*2)*3*0.15</f>
        <v>16.559999999999999</v>
      </c>
    </row>
    <row r="9" spans="1:7" s="68" customFormat="1" ht="12.75" customHeight="1" x14ac:dyDescent="0.2">
      <c r="A9" s="25">
        <v>7</v>
      </c>
      <c r="B9" s="24">
        <f>+(6.4+2+3.4)*2.8</f>
        <v>33.04</v>
      </c>
      <c r="C9" s="24">
        <f>+(8.36*2)*2.8-1.5*2*5</f>
        <v>31.815999999999995</v>
      </c>
      <c r="D9" s="24">
        <f t="shared" si="2"/>
        <v>53.199999999999996</v>
      </c>
      <c r="E9" s="24">
        <f>+(0.4+1+1.5+3+4.9+0.3+2.6+0.4+2.1*2+2.2+0.7+2+0.7+2.7+0.7+1)*2.8</f>
        <v>79.239999999999981</v>
      </c>
      <c r="F9" s="24">
        <f>+(15.8*2)*2.8</f>
        <v>88.48</v>
      </c>
      <c r="G9" s="24">
        <f>+(15.8*2)*3*0.15</f>
        <v>14.22</v>
      </c>
    </row>
    <row r="10" spans="1:7" s="68" customFormat="1" ht="12.75" customHeight="1" x14ac:dyDescent="0.2">
      <c r="A10" s="25">
        <v>8</v>
      </c>
      <c r="B10" s="24">
        <f>+(6.4+2+3.4)*2.8</f>
        <v>33.04</v>
      </c>
      <c r="C10" s="24">
        <f>+(8.36*2)*2.8-1.5*2*5</f>
        <v>31.815999999999995</v>
      </c>
      <c r="D10" s="24">
        <f t="shared" si="2"/>
        <v>53.199999999999996</v>
      </c>
      <c r="E10" s="24">
        <f>+(0.4+1+1.5+3+3.9+3+0.4+0.3+2.1+2.1+0.7+2+2.7+0.7+1)*2.8</f>
        <v>69.44</v>
      </c>
      <c r="F10" s="24">
        <f>+(14.9*2)*2.8</f>
        <v>83.44</v>
      </c>
      <c r="G10" s="24">
        <f>+(14.9*2)*3*0.15</f>
        <v>13.41</v>
      </c>
    </row>
    <row r="11" spans="1:7" s="68" customFormat="1" ht="12.75" customHeight="1" x14ac:dyDescent="0.2">
      <c r="A11" s="25">
        <v>9</v>
      </c>
      <c r="B11" s="24">
        <f>+(6.4+2)*2.8</f>
        <v>23.52</v>
      </c>
      <c r="C11" s="24">
        <f>+(8.36*2)*2.8-1.5*2*5</f>
        <v>31.815999999999995</v>
      </c>
      <c r="D11" s="24">
        <f t="shared" si="2"/>
        <v>53.199999999999996</v>
      </c>
      <c r="E11" s="24">
        <f>+(0.4+1+1.5+3+3+0.7+3+1.7+0.4+1.1+0.7+2+2.7+0.7+1)*2.8</f>
        <v>64.11999999999999</v>
      </c>
      <c r="F11" s="24">
        <f>+(14*2)*2.8</f>
        <v>78.399999999999991</v>
      </c>
      <c r="G11" s="24">
        <f>+(14*2)*3*0.15</f>
        <v>12.6</v>
      </c>
    </row>
    <row r="12" spans="1:7" s="68" customFormat="1" ht="12.75" customHeight="1" x14ac:dyDescent="0.2">
      <c r="A12" s="25">
        <v>10</v>
      </c>
      <c r="B12" s="24">
        <f>+(6.4)*2.8</f>
        <v>17.919999999999998</v>
      </c>
      <c r="C12" s="24">
        <f>+(8.36)*2.8-1.5*2*3</f>
        <v>14.407999999999998</v>
      </c>
      <c r="D12" s="24">
        <f>+(4.7+1.1+1.8+2.2+4+5.2+3+3)*2.8</f>
        <v>70</v>
      </c>
      <c r="E12" s="24">
        <f>+(0.4+1+1.5+3+2.2+0.7+2+2.7+0.7+1)*2.8</f>
        <v>42.559999999999995</v>
      </c>
      <c r="F12" s="24">
        <f>+(13.1*2)*2.8</f>
        <v>73.36</v>
      </c>
      <c r="G12" s="24">
        <f>+(13.1*2)*3*0.15</f>
        <v>11.79</v>
      </c>
    </row>
    <row r="13" spans="1:7" ht="12.75" customHeight="1" x14ac:dyDescent="0.2">
      <c r="A13" s="25" t="s">
        <v>35</v>
      </c>
      <c r="B13" s="24"/>
      <c r="C13" s="24"/>
      <c r="D13" s="24">
        <f>+(4.7+1.1+1.8+2.2+4+5.2+3+3+6.4*2)*2.8</f>
        <v>105.83999999999999</v>
      </c>
      <c r="E13" s="24"/>
      <c r="F13" s="24">
        <f>+(4.6)*2.8</f>
        <v>12.879999999999999</v>
      </c>
      <c r="G13" s="24">
        <f>+(4.6)*3*0.15</f>
        <v>2.0699999999999998</v>
      </c>
    </row>
    <row r="14" spans="1:7" ht="12.75" customHeight="1" x14ac:dyDescent="0.2">
      <c r="A14" s="23" t="s">
        <v>44</v>
      </c>
      <c r="B14" s="24"/>
      <c r="C14" s="24"/>
      <c r="D14" s="24"/>
      <c r="E14" s="24"/>
      <c r="F14" s="24"/>
      <c r="G14" s="24">
        <f>+(3.2+1.7)*2*2.5*0.15</f>
        <v>3.6749999999999998</v>
      </c>
    </row>
    <row r="15" spans="1:7" ht="12.75" customHeight="1" x14ac:dyDescent="0.2">
      <c r="A15" s="26" t="s">
        <v>45</v>
      </c>
      <c r="B15" s="27">
        <f t="shared" ref="B15:D15" si="5">SUM(B2:B14)</f>
        <v>398.84000000000009</v>
      </c>
      <c r="C15" s="27">
        <f t="shared" ref="C15" si="6">SUM(C2:C14)</f>
        <v>282.75200000000001</v>
      </c>
      <c r="D15" s="27">
        <f t="shared" si="5"/>
        <v>731.43999999999994</v>
      </c>
      <c r="E15" s="27">
        <f>SUM(E2:E14)</f>
        <v>748.43999999999994</v>
      </c>
      <c r="F15" s="27">
        <f>SUM(F2:F14)</f>
        <v>542.64</v>
      </c>
      <c r="G15" s="73">
        <f>SUM(G2:G14)</f>
        <v>285.02100000000002</v>
      </c>
    </row>
    <row r="16" spans="1:7" ht="12.75" customHeight="1" x14ac:dyDescent="0.2">
      <c r="D16" s="86"/>
      <c r="F16" s="89">
        <f>+E15+F15</f>
        <v>1291.08</v>
      </c>
      <c r="G16" s="28"/>
    </row>
    <row r="17" spans="1:7" ht="12.75" customHeight="1" x14ac:dyDescent="0.2">
      <c r="A17" s="29"/>
      <c r="B17" s="30"/>
      <c r="C17" s="30"/>
      <c r="D17" s="30"/>
      <c r="E17" s="30"/>
      <c r="F17" s="30"/>
      <c r="G17" s="30"/>
    </row>
    <row r="18" spans="1:7" ht="12.75" customHeight="1" x14ac:dyDescent="0.2">
      <c r="A18" s="29"/>
      <c r="B18" s="31"/>
      <c r="C18" s="31"/>
      <c r="G18" s="32"/>
    </row>
    <row r="19" spans="1:7" ht="12.75" customHeight="1" x14ac:dyDescent="0.2">
      <c r="A19" s="31" t="s">
        <v>46</v>
      </c>
      <c r="B19" s="32"/>
      <c r="C19" s="32"/>
      <c r="D19" s="28">
        <f>+((D2+E2+G2)/4)*0.4*0.6</f>
        <v>9.147359999999999</v>
      </c>
      <c r="G19" s="32"/>
    </row>
    <row r="20" spans="1:7" ht="12.75" customHeight="1" x14ac:dyDescent="0.2">
      <c r="A20" s="29"/>
      <c r="B20" s="31"/>
      <c r="C20" s="31"/>
      <c r="G20" s="32"/>
    </row>
    <row r="21" spans="1:7" ht="12.75" customHeight="1" x14ac:dyDescent="0.2">
      <c r="A21" s="31" t="s">
        <v>47</v>
      </c>
      <c r="B21" s="32"/>
      <c r="C21" s="32"/>
      <c r="D21" s="33">
        <f>+(D2+E2+G2)/4</f>
        <v>38.113999999999997</v>
      </c>
      <c r="G21" s="32"/>
    </row>
    <row r="22" spans="1:7" ht="12.75" customHeight="1" x14ac:dyDescent="0.2">
      <c r="A22" s="29"/>
      <c r="B22" s="31"/>
      <c r="C22" s="31"/>
      <c r="G22" s="32"/>
    </row>
    <row r="23" spans="1:7" ht="12.75" customHeight="1" x14ac:dyDescent="0.2">
      <c r="A23" s="29"/>
      <c r="B23" s="30"/>
      <c r="C23" s="30"/>
      <c r="G23" s="32"/>
    </row>
    <row r="24" spans="1:7" ht="12.75" customHeight="1" x14ac:dyDescent="0.2">
      <c r="A24" s="29"/>
      <c r="B24" s="30"/>
      <c r="C24" s="30"/>
      <c r="G24" s="32"/>
    </row>
    <row r="25" spans="1:7" ht="12.75" customHeight="1" x14ac:dyDescent="0.2">
      <c r="A25" s="29"/>
      <c r="B25" s="30"/>
      <c r="C25" s="30"/>
      <c r="G25" s="32"/>
    </row>
    <row r="26" spans="1:7" ht="12.75" customHeight="1" x14ac:dyDescent="0.2">
      <c r="A26" s="29"/>
      <c r="B26" s="31"/>
      <c r="C26" s="31"/>
      <c r="G26" s="32"/>
    </row>
    <row r="27" spans="1:7" ht="12.75" customHeight="1" x14ac:dyDescent="0.2">
      <c r="A27" s="29"/>
      <c r="B27" s="30"/>
      <c r="C27" s="30"/>
      <c r="G27" s="32"/>
    </row>
    <row r="28" spans="1:7" ht="12.75" customHeight="1" x14ac:dyDescent="0.2">
      <c r="A28" s="29"/>
      <c r="B28" s="31"/>
      <c r="C28" s="31"/>
      <c r="G28" s="32"/>
    </row>
    <row r="29" spans="1:7" ht="12.75" customHeight="1" x14ac:dyDescent="0.2">
      <c r="G29" s="32"/>
    </row>
    <row r="30" spans="1:7" ht="12.75" customHeight="1" x14ac:dyDescent="0.2">
      <c r="A30" s="29"/>
      <c r="B30" s="30"/>
      <c r="C30" s="30"/>
      <c r="D30" s="30"/>
      <c r="E30" s="30"/>
      <c r="F30" s="30"/>
      <c r="G30" s="30"/>
    </row>
    <row r="31" spans="1:7" ht="12.75" customHeight="1" x14ac:dyDescent="0.2">
      <c r="A31" s="29"/>
      <c r="B31" s="30"/>
      <c r="C31" s="30"/>
      <c r="D31" s="30"/>
      <c r="E31" s="30"/>
      <c r="F31" s="30"/>
      <c r="G31" s="30"/>
    </row>
    <row r="32" spans="1:7" ht="12.75" customHeight="1" x14ac:dyDescent="0.2">
      <c r="A32" s="29"/>
      <c r="B32" s="34"/>
      <c r="C32" s="34"/>
      <c r="D32" s="34"/>
      <c r="E32" s="34"/>
      <c r="F32" s="34"/>
      <c r="G32" s="34"/>
    </row>
    <row r="33" spans="1:7" ht="12.75" customHeight="1" x14ac:dyDescent="0.2">
      <c r="G33" s="32"/>
    </row>
    <row r="34" spans="1:7" ht="12.75" customHeight="1" x14ac:dyDescent="0.2">
      <c r="A34" s="29"/>
      <c r="B34" s="34"/>
      <c r="C34" s="34"/>
      <c r="D34" s="34"/>
      <c r="E34" s="34"/>
      <c r="F34" s="34"/>
      <c r="G34" s="34"/>
    </row>
    <row r="35" spans="1:7" ht="12.75" customHeight="1" x14ac:dyDescent="0.2">
      <c r="A35" s="29"/>
      <c r="G35" s="32"/>
    </row>
    <row r="36" spans="1:7" ht="12.75" customHeight="1" x14ac:dyDescent="0.2">
      <c r="G36" s="32"/>
    </row>
    <row r="37" spans="1:7" ht="12.75" customHeight="1" x14ac:dyDescent="0.2">
      <c r="G37" s="32"/>
    </row>
    <row r="38" spans="1:7" ht="12.75" customHeight="1" x14ac:dyDescent="0.2">
      <c r="G38" s="32"/>
    </row>
    <row r="39" spans="1:7" ht="12.75" customHeight="1" x14ac:dyDescent="0.2">
      <c r="G39" s="32"/>
    </row>
    <row r="40" spans="1:7" ht="12.75" customHeight="1" x14ac:dyDescent="0.2">
      <c r="G40" s="32"/>
    </row>
    <row r="41" spans="1:7" ht="12.75" customHeight="1" x14ac:dyDescent="0.2">
      <c r="G41" s="32"/>
    </row>
    <row r="42" spans="1:7" ht="12.75" customHeight="1" x14ac:dyDescent="0.2">
      <c r="G42" s="32"/>
    </row>
    <row r="43" spans="1:7" ht="12.75" customHeight="1" x14ac:dyDescent="0.2">
      <c r="G43" s="32"/>
    </row>
    <row r="44" spans="1:7" ht="12.75" customHeight="1" x14ac:dyDescent="0.2">
      <c r="G44" s="32"/>
    </row>
    <row r="45" spans="1:7" ht="12.75" customHeight="1" x14ac:dyDescent="0.2">
      <c r="G45" s="32"/>
    </row>
    <row r="46" spans="1:7" ht="12.75" customHeight="1" x14ac:dyDescent="0.2">
      <c r="G46" s="32"/>
    </row>
    <row r="47" spans="1:7" ht="12.75" customHeight="1" x14ac:dyDescent="0.2">
      <c r="G47" s="32"/>
    </row>
    <row r="48" spans="1:7" ht="12.75" customHeight="1" x14ac:dyDescent="0.2">
      <c r="G48" s="32"/>
    </row>
    <row r="49" spans="7:7" ht="12.75" customHeight="1" x14ac:dyDescent="0.2">
      <c r="G49" s="32"/>
    </row>
    <row r="50" spans="7:7" ht="12.75" customHeight="1" x14ac:dyDescent="0.2">
      <c r="G50" s="32"/>
    </row>
    <row r="51" spans="7:7" ht="12.75" customHeight="1" x14ac:dyDescent="0.2">
      <c r="G51" s="32"/>
    </row>
    <row r="52" spans="7:7" ht="12.75" customHeight="1" x14ac:dyDescent="0.2">
      <c r="G52" s="32"/>
    </row>
    <row r="53" spans="7:7" ht="12.75" customHeight="1" x14ac:dyDescent="0.2">
      <c r="G53" s="32"/>
    </row>
    <row r="54" spans="7:7" ht="12.75" customHeight="1" x14ac:dyDescent="0.2">
      <c r="G54" s="32"/>
    </row>
    <row r="55" spans="7:7" ht="12.75" customHeight="1" x14ac:dyDescent="0.2">
      <c r="G55" s="32"/>
    </row>
    <row r="56" spans="7:7" ht="12.75" customHeight="1" x14ac:dyDescent="0.2">
      <c r="G56" s="32"/>
    </row>
    <row r="57" spans="7:7" ht="12.75" customHeight="1" x14ac:dyDescent="0.2">
      <c r="G57" s="32"/>
    </row>
    <row r="58" spans="7:7" ht="12.75" customHeight="1" x14ac:dyDescent="0.2">
      <c r="G58" s="32"/>
    </row>
    <row r="59" spans="7:7" ht="12.75" customHeight="1" x14ac:dyDescent="0.2">
      <c r="G59" s="32"/>
    </row>
    <row r="60" spans="7:7" ht="12.75" customHeight="1" x14ac:dyDescent="0.2">
      <c r="G60" s="32"/>
    </row>
    <row r="61" spans="7:7" ht="12.75" customHeight="1" x14ac:dyDescent="0.2">
      <c r="G61" s="32"/>
    </row>
    <row r="62" spans="7:7" ht="12.75" customHeight="1" x14ac:dyDescent="0.2">
      <c r="G62" s="32"/>
    </row>
    <row r="63" spans="7:7" ht="12.75" customHeight="1" x14ac:dyDescent="0.2">
      <c r="G63" s="32"/>
    </row>
    <row r="64" spans="7:7" ht="12.75" customHeight="1" x14ac:dyDescent="0.2">
      <c r="G64" s="32"/>
    </row>
    <row r="65" spans="7:7" ht="12.75" customHeight="1" x14ac:dyDescent="0.2">
      <c r="G65" s="32"/>
    </row>
    <row r="66" spans="7:7" ht="12.75" customHeight="1" x14ac:dyDescent="0.2">
      <c r="G66" s="32"/>
    </row>
    <row r="67" spans="7:7" ht="12.75" customHeight="1" x14ac:dyDescent="0.2">
      <c r="G67" s="32"/>
    </row>
    <row r="68" spans="7:7" ht="12.75" customHeight="1" x14ac:dyDescent="0.2">
      <c r="G68" s="32"/>
    </row>
    <row r="69" spans="7:7" ht="12.75" customHeight="1" x14ac:dyDescent="0.2">
      <c r="G69" s="32"/>
    </row>
    <row r="70" spans="7:7" ht="12.75" customHeight="1" x14ac:dyDescent="0.2">
      <c r="G70" s="32"/>
    </row>
    <row r="71" spans="7:7" ht="12.75" customHeight="1" x14ac:dyDescent="0.2">
      <c r="G71" s="32"/>
    </row>
    <row r="72" spans="7:7" ht="12.75" customHeight="1" x14ac:dyDescent="0.2">
      <c r="G72" s="32"/>
    </row>
    <row r="73" spans="7:7" ht="12.75" customHeight="1" x14ac:dyDescent="0.2">
      <c r="G73" s="32"/>
    </row>
    <row r="74" spans="7:7" ht="12.75" customHeight="1" x14ac:dyDescent="0.2">
      <c r="G74" s="32"/>
    </row>
    <row r="75" spans="7:7" ht="12.75" customHeight="1" x14ac:dyDescent="0.2">
      <c r="G75" s="32"/>
    </row>
    <row r="76" spans="7:7" ht="12.75" customHeight="1" x14ac:dyDescent="0.2">
      <c r="G76" s="32"/>
    </row>
    <row r="77" spans="7:7" ht="12.75" customHeight="1" x14ac:dyDescent="0.2">
      <c r="G77" s="32"/>
    </row>
    <row r="78" spans="7:7" ht="12.75" customHeight="1" x14ac:dyDescent="0.2">
      <c r="G78" s="32"/>
    </row>
    <row r="79" spans="7:7" ht="12.75" customHeight="1" x14ac:dyDescent="0.2">
      <c r="G79" s="32"/>
    </row>
    <row r="80" spans="7:7" ht="12.75" customHeight="1" x14ac:dyDescent="0.2">
      <c r="G80" s="32"/>
    </row>
    <row r="81" spans="7:7" ht="12.75" customHeight="1" x14ac:dyDescent="0.2">
      <c r="G81" s="32"/>
    </row>
    <row r="82" spans="7:7" ht="12.75" customHeight="1" x14ac:dyDescent="0.2">
      <c r="G82" s="32"/>
    </row>
    <row r="83" spans="7:7" ht="12.75" customHeight="1" x14ac:dyDescent="0.2">
      <c r="G83" s="32"/>
    </row>
    <row r="84" spans="7:7" ht="12.75" customHeight="1" x14ac:dyDescent="0.2">
      <c r="G84" s="32"/>
    </row>
    <row r="85" spans="7:7" ht="12.75" customHeight="1" x14ac:dyDescent="0.2">
      <c r="G85" s="32"/>
    </row>
    <row r="86" spans="7:7" ht="12.75" customHeight="1" x14ac:dyDescent="0.2">
      <c r="G86" s="32"/>
    </row>
    <row r="87" spans="7:7" ht="12.75" customHeight="1" x14ac:dyDescent="0.2">
      <c r="G87" s="32"/>
    </row>
    <row r="88" spans="7:7" ht="12.75" customHeight="1" x14ac:dyDescent="0.2">
      <c r="G88" s="32"/>
    </row>
    <row r="89" spans="7:7" ht="12.75" customHeight="1" x14ac:dyDescent="0.2">
      <c r="G89" s="32"/>
    </row>
    <row r="90" spans="7:7" ht="12.75" customHeight="1" x14ac:dyDescent="0.2">
      <c r="G90" s="32"/>
    </row>
    <row r="91" spans="7:7" ht="12.75" customHeight="1" x14ac:dyDescent="0.2">
      <c r="G91" s="32"/>
    </row>
    <row r="92" spans="7:7" ht="12.75" customHeight="1" x14ac:dyDescent="0.2">
      <c r="G92" s="32"/>
    </row>
    <row r="93" spans="7:7" ht="12.75" customHeight="1" x14ac:dyDescent="0.2">
      <c r="G93" s="32"/>
    </row>
    <row r="94" spans="7:7" ht="12.75" customHeight="1" x14ac:dyDescent="0.2">
      <c r="G94" s="32"/>
    </row>
    <row r="95" spans="7:7" ht="12.75" customHeight="1" x14ac:dyDescent="0.2">
      <c r="G95" s="32"/>
    </row>
    <row r="96" spans="7:7" ht="12.75" customHeight="1" x14ac:dyDescent="0.2">
      <c r="G96" s="32"/>
    </row>
    <row r="97" spans="7:7" ht="12.75" customHeight="1" x14ac:dyDescent="0.2">
      <c r="G97" s="32"/>
    </row>
    <row r="98" spans="7:7" ht="12.75" customHeight="1" x14ac:dyDescent="0.2">
      <c r="G98" s="32"/>
    </row>
    <row r="99" spans="7:7" ht="12.75" customHeight="1" x14ac:dyDescent="0.2">
      <c r="G99" s="32"/>
    </row>
    <row r="100" spans="7:7" ht="12.75" customHeight="1" x14ac:dyDescent="0.2">
      <c r="G100" s="32"/>
    </row>
    <row r="101" spans="7:7" ht="12.75" customHeight="1" x14ac:dyDescent="0.2">
      <c r="G101" s="32"/>
    </row>
    <row r="102" spans="7:7" ht="12.75" customHeight="1" x14ac:dyDescent="0.2">
      <c r="G102" s="32"/>
    </row>
    <row r="103" spans="7:7" ht="12.75" customHeight="1" x14ac:dyDescent="0.2">
      <c r="G103" s="32"/>
    </row>
    <row r="104" spans="7:7" ht="12.75" customHeight="1" x14ac:dyDescent="0.2">
      <c r="G104" s="32"/>
    </row>
    <row r="105" spans="7:7" ht="12.75" customHeight="1" x14ac:dyDescent="0.2">
      <c r="G105" s="32"/>
    </row>
    <row r="106" spans="7:7" ht="12.75" customHeight="1" x14ac:dyDescent="0.2">
      <c r="G106" s="32"/>
    </row>
    <row r="107" spans="7:7" ht="12.75" customHeight="1" x14ac:dyDescent="0.2">
      <c r="G107" s="32"/>
    </row>
    <row r="108" spans="7:7" ht="12.75" customHeight="1" x14ac:dyDescent="0.2">
      <c r="G108" s="32"/>
    </row>
    <row r="109" spans="7:7" ht="12.75" customHeight="1" x14ac:dyDescent="0.2">
      <c r="G109" s="32"/>
    </row>
    <row r="110" spans="7:7" ht="12.75" customHeight="1" x14ac:dyDescent="0.2">
      <c r="G110" s="32"/>
    </row>
    <row r="111" spans="7:7" ht="12.75" customHeight="1" x14ac:dyDescent="0.2">
      <c r="G111" s="32"/>
    </row>
    <row r="112" spans="7:7" ht="12.75" customHeight="1" x14ac:dyDescent="0.2">
      <c r="G112" s="32"/>
    </row>
    <row r="113" spans="7:7" ht="12.75" customHeight="1" x14ac:dyDescent="0.2">
      <c r="G113" s="32"/>
    </row>
    <row r="114" spans="7:7" ht="12.75" customHeight="1" x14ac:dyDescent="0.2">
      <c r="G114" s="32"/>
    </row>
    <row r="115" spans="7:7" ht="12.75" customHeight="1" x14ac:dyDescent="0.2">
      <c r="G115" s="32"/>
    </row>
    <row r="116" spans="7:7" ht="12.75" customHeight="1" x14ac:dyDescent="0.2">
      <c r="G116" s="32"/>
    </row>
    <row r="117" spans="7:7" ht="12.75" customHeight="1" x14ac:dyDescent="0.2">
      <c r="G117" s="32"/>
    </row>
    <row r="118" spans="7:7" ht="12.75" customHeight="1" x14ac:dyDescent="0.2">
      <c r="G118" s="32"/>
    </row>
    <row r="119" spans="7:7" ht="12.75" customHeight="1" x14ac:dyDescent="0.2">
      <c r="G119" s="32"/>
    </row>
    <row r="120" spans="7:7" ht="12.75" customHeight="1" x14ac:dyDescent="0.2">
      <c r="G120" s="32"/>
    </row>
    <row r="121" spans="7:7" ht="12.75" customHeight="1" x14ac:dyDescent="0.2">
      <c r="G121" s="32"/>
    </row>
    <row r="122" spans="7:7" ht="12.75" customHeight="1" x14ac:dyDescent="0.2">
      <c r="G122" s="32"/>
    </row>
    <row r="123" spans="7:7" ht="12.75" customHeight="1" x14ac:dyDescent="0.2">
      <c r="G123" s="32"/>
    </row>
    <row r="124" spans="7:7" ht="12.75" customHeight="1" x14ac:dyDescent="0.2">
      <c r="G124" s="32"/>
    </row>
    <row r="125" spans="7:7" ht="12.75" customHeight="1" x14ac:dyDescent="0.2">
      <c r="G125" s="32"/>
    </row>
    <row r="126" spans="7:7" ht="12.75" customHeight="1" x14ac:dyDescent="0.2">
      <c r="G126" s="32"/>
    </row>
    <row r="127" spans="7:7" ht="12.75" customHeight="1" x14ac:dyDescent="0.2">
      <c r="G127" s="32"/>
    </row>
    <row r="128" spans="7:7" ht="12.75" customHeight="1" x14ac:dyDescent="0.2">
      <c r="G128" s="32"/>
    </row>
    <row r="129" spans="7:7" ht="12.75" customHeight="1" x14ac:dyDescent="0.2">
      <c r="G129" s="32"/>
    </row>
    <row r="130" spans="7:7" ht="12.75" customHeight="1" x14ac:dyDescent="0.2">
      <c r="G130" s="32"/>
    </row>
    <row r="131" spans="7:7" ht="12.75" customHeight="1" x14ac:dyDescent="0.2">
      <c r="G131" s="32"/>
    </row>
    <row r="132" spans="7:7" ht="12.75" customHeight="1" x14ac:dyDescent="0.2">
      <c r="G132" s="32"/>
    </row>
    <row r="133" spans="7:7" ht="12.75" customHeight="1" x14ac:dyDescent="0.2">
      <c r="G133" s="32"/>
    </row>
    <row r="134" spans="7:7" ht="12.75" customHeight="1" x14ac:dyDescent="0.2">
      <c r="G134" s="32"/>
    </row>
    <row r="135" spans="7:7" ht="12.75" customHeight="1" x14ac:dyDescent="0.2">
      <c r="G135" s="32"/>
    </row>
    <row r="136" spans="7:7" ht="12.75" customHeight="1" x14ac:dyDescent="0.2">
      <c r="G136" s="32"/>
    </row>
    <row r="137" spans="7:7" ht="12.75" customHeight="1" x14ac:dyDescent="0.2">
      <c r="G137" s="32"/>
    </row>
    <row r="138" spans="7:7" ht="12.75" customHeight="1" x14ac:dyDescent="0.2">
      <c r="G138" s="32"/>
    </row>
    <row r="139" spans="7:7" ht="12.75" customHeight="1" x14ac:dyDescent="0.2">
      <c r="G139" s="32"/>
    </row>
    <row r="140" spans="7:7" ht="12.75" customHeight="1" x14ac:dyDescent="0.2">
      <c r="G140" s="32"/>
    </row>
    <row r="141" spans="7:7" ht="12.75" customHeight="1" x14ac:dyDescent="0.2">
      <c r="G141" s="32"/>
    </row>
    <row r="142" spans="7:7" ht="12.75" customHeight="1" x14ac:dyDescent="0.2">
      <c r="G142" s="32"/>
    </row>
    <row r="143" spans="7:7" ht="12.75" customHeight="1" x14ac:dyDescent="0.2">
      <c r="G143" s="32"/>
    </row>
    <row r="144" spans="7:7" ht="12.75" customHeight="1" x14ac:dyDescent="0.2">
      <c r="G144" s="32"/>
    </row>
    <row r="145" spans="7:7" ht="12.75" customHeight="1" x14ac:dyDescent="0.2">
      <c r="G145" s="32"/>
    </row>
    <row r="146" spans="7:7" ht="12.75" customHeight="1" x14ac:dyDescent="0.2">
      <c r="G146" s="32"/>
    </row>
    <row r="147" spans="7:7" ht="12.75" customHeight="1" x14ac:dyDescent="0.2">
      <c r="G147" s="32"/>
    </row>
    <row r="148" spans="7:7" ht="12.75" customHeight="1" x14ac:dyDescent="0.2">
      <c r="G148" s="32"/>
    </row>
    <row r="149" spans="7:7" ht="12.75" customHeight="1" x14ac:dyDescent="0.2">
      <c r="G149" s="32"/>
    </row>
    <row r="150" spans="7:7" ht="12.75" customHeight="1" x14ac:dyDescent="0.2">
      <c r="G150" s="32"/>
    </row>
    <row r="151" spans="7:7" ht="12.75" customHeight="1" x14ac:dyDescent="0.2">
      <c r="G151" s="32"/>
    </row>
    <row r="152" spans="7:7" ht="12.75" customHeight="1" x14ac:dyDescent="0.2">
      <c r="G152" s="32"/>
    </row>
    <row r="153" spans="7:7" ht="12.75" customHeight="1" x14ac:dyDescent="0.2">
      <c r="G153" s="32"/>
    </row>
    <row r="154" spans="7:7" ht="12.75" customHeight="1" x14ac:dyDescent="0.2">
      <c r="G154" s="32"/>
    </row>
    <row r="155" spans="7:7" ht="12.75" customHeight="1" x14ac:dyDescent="0.2">
      <c r="G155" s="32"/>
    </row>
    <row r="156" spans="7:7" ht="12.75" customHeight="1" x14ac:dyDescent="0.2">
      <c r="G156" s="32"/>
    </row>
    <row r="157" spans="7:7" ht="12.75" customHeight="1" x14ac:dyDescent="0.2">
      <c r="G157" s="32"/>
    </row>
    <row r="158" spans="7:7" ht="12.75" customHeight="1" x14ac:dyDescent="0.2">
      <c r="G158" s="32"/>
    </row>
    <row r="159" spans="7:7" ht="12.75" customHeight="1" x14ac:dyDescent="0.2">
      <c r="G159" s="32"/>
    </row>
    <row r="160" spans="7:7" ht="12.75" customHeight="1" x14ac:dyDescent="0.2">
      <c r="G160" s="32"/>
    </row>
    <row r="161" spans="7:7" ht="12.75" customHeight="1" x14ac:dyDescent="0.2">
      <c r="G161" s="32"/>
    </row>
    <row r="162" spans="7:7" ht="12.75" customHeight="1" x14ac:dyDescent="0.2">
      <c r="G162" s="32"/>
    </row>
    <row r="163" spans="7:7" ht="12.75" customHeight="1" x14ac:dyDescent="0.2">
      <c r="G163" s="32"/>
    </row>
    <row r="164" spans="7:7" ht="12.75" customHeight="1" x14ac:dyDescent="0.2">
      <c r="G164" s="32"/>
    </row>
    <row r="165" spans="7:7" ht="12.75" customHeight="1" x14ac:dyDescent="0.2">
      <c r="G165" s="32"/>
    </row>
    <row r="166" spans="7:7" ht="12.75" customHeight="1" x14ac:dyDescent="0.2">
      <c r="G166" s="32"/>
    </row>
    <row r="167" spans="7:7" ht="12.75" customHeight="1" x14ac:dyDescent="0.2">
      <c r="G167" s="32"/>
    </row>
    <row r="168" spans="7:7" ht="12.75" customHeight="1" x14ac:dyDescent="0.2">
      <c r="G168" s="32"/>
    </row>
    <row r="169" spans="7:7" ht="12.75" customHeight="1" x14ac:dyDescent="0.2">
      <c r="G169" s="32"/>
    </row>
    <row r="170" spans="7:7" ht="12.75" customHeight="1" x14ac:dyDescent="0.2">
      <c r="G170" s="32"/>
    </row>
    <row r="171" spans="7:7" ht="12.75" customHeight="1" x14ac:dyDescent="0.2">
      <c r="G171" s="32"/>
    </row>
    <row r="172" spans="7:7" ht="12.75" customHeight="1" x14ac:dyDescent="0.2">
      <c r="G172" s="32"/>
    </row>
    <row r="173" spans="7:7" ht="12.75" customHeight="1" x14ac:dyDescent="0.2">
      <c r="G173" s="32"/>
    </row>
    <row r="174" spans="7:7" ht="12.75" customHeight="1" x14ac:dyDescent="0.2">
      <c r="G174" s="32"/>
    </row>
    <row r="175" spans="7:7" ht="12.75" customHeight="1" x14ac:dyDescent="0.2">
      <c r="G175" s="32"/>
    </row>
    <row r="176" spans="7:7" ht="12.75" customHeight="1" x14ac:dyDescent="0.2">
      <c r="G176" s="32"/>
    </row>
    <row r="177" spans="7:7" ht="12.75" customHeight="1" x14ac:dyDescent="0.2">
      <c r="G177" s="32"/>
    </row>
    <row r="178" spans="7:7" ht="12.75" customHeight="1" x14ac:dyDescent="0.2">
      <c r="G178" s="32"/>
    </row>
    <row r="179" spans="7:7" ht="12.75" customHeight="1" x14ac:dyDescent="0.2">
      <c r="G179" s="32"/>
    </row>
    <row r="180" spans="7:7" ht="12.75" customHeight="1" x14ac:dyDescent="0.2">
      <c r="G180" s="32"/>
    </row>
    <row r="181" spans="7:7" ht="12.75" customHeight="1" x14ac:dyDescent="0.2">
      <c r="G181" s="32"/>
    </row>
    <row r="182" spans="7:7" ht="12.75" customHeight="1" x14ac:dyDescent="0.2">
      <c r="G182" s="32"/>
    </row>
    <row r="183" spans="7:7" ht="12.75" customHeight="1" x14ac:dyDescent="0.2">
      <c r="G183" s="32"/>
    </row>
    <row r="184" spans="7:7" ht="12.75" customHeight="1" x14ac:dyDescent="0.2">
      <c r="G184" s="32"/>
    </row>
    <row r="185" spans="7:7" ht="12.75" customHeight="1" x14ac:dyDescent="0.2">
      <c r="G185" s="32"/>
    </row>
    <row r="186" spans="7:7" ht="12.75" customHeight="1" x14ac:dyDescent="0.2">
      <c r="G186" s="32"/>
    </row>
    <row r="187" spans="7:7" ht="12.75" customHeight="1" x14ac:dyDescent="0.2">
      <c r="G187" s="32"/>
    </row>
    <row r="188" spans="7:7" ht="12.75" customHeight="1" x14ac:dyDescent="0.2">
      <c r="G188" s="32"/>
    </row>
    <row r="189" spans="7:7" ht="12.75" customHeight="1" x14ac:dyDescent="0.2">
      <c r="G189" s="32"/>
    </row>
    <row r="190" spans="7:7" ht="12.75" customHeight="1" x14ac:dyDescent="0.2">
      <c r="G190" s="32"/>
    </row>
    <row r="191" spans="7:7" ht="12.75" customHeight="1" x14ac:dyDescent="0.2">
      <c r="G191" s="32"/>
    </row>
    <row r="192" spans="7:7" ht="12.75" customHeight="1" x14ac:dyDescent="0.2">
      <c r="G192" s="32"/>
    </row>
    <row r="193" spans="7:7" ht="12.75" customHeight="1" x14ac:dyDescent="0.2">
      <c r="G193" s="32"/>
    </row>
    <row r="194" spans="7:7" ht="12.75" customHeight="1" x14ac:dyDescent="0.2">
      <c r="G194" s="32"/>
    </row>
    <row r="195" spans="7:7" ht="12.75" customHeight="1" x14ac:dyDescent="0.2">
      <c r="G195" s="32"/>
    </row>
    <row r="196" spans="7:7" ht="12.75" customHeight="1" x14ac:dyDescent="0.2">
      <c r="G196" s="32"/>
    </row>
    <row r="197" spans="7:7" ht="12.75" customHeight="1" x14ac:dyDescent="0.2">
      <c r="G197" s="32"/>
    </row>
    <row r="198" spans="7:7" ht="12.75" customHeight="1" x14ac:dyDescent="0.2">
      <c r="G198" s="32"/>
    </row>
    <row r="199" spans="7:7" ht="12.75" customHeight="1" x14ac:dyDescent="0.2">
      <c r="G199" s="32"/>
    </row>
    <row r="200" spans="7:7" ht="12.75" customHeight="1" x14ac:dyDescent="0.2">
      <c r="G200" s="32"/>
    </row>
    <row r="201" spans="7:7" ht="12.75" customHeight="1" x14ac:dyDescent="0.2">
      <c r="G201" s="32"/>
    </row>
    <row r="202" spans="7:7" ht="12.75" customHeight="1" x14ac:dyDescent="0.2">
      <c r="G202" s="32"/>
    </row>
    <row r="203" spans="7:7" ht="12.75" customHeight="1" x14ac:dyDescent="0.2">
      <c r="G203" s="32"/>
    </row>
    <row r="204" spans="7:7" ht="12.75" customHeight="1" x14ac:dyDescent="0.2">
      <c r="G204" s="32"/>
    </row>
    <row r="205" spans="7:7" ht="12.75" customHeight="1" x14ac:dyDescent="0.2">
      <c r="G205" s="32"/>
    </row>
    <row r="206" spans="7:7" ht="12.75" customHeight="1" x14ac:dyDescent="0.2">
      <c r="G206" s="32"/>
    </row>
    <row r="207" spans="7:7" ht="12.75" customHeight="1" x14ac:dyDescent="0.2">
      <c r="G207" s="32"/>
    </row>
    <row r="208" spans="7:7" ht="12.75" customHeight="1" x14ac:dyDescent="0.2">
      <c r="G208" s="32"/>
    </row>
    <row r="209" spans="7:7" ht="12.75" customHeight="1" x14ac:dyDescent="0.2">
      <c r="G209" s="32"/>
    </row>
    <row r="210" spans="7:7" ht="12.75" customHeight="1" x14ac:dyDescent="0.2">
      <c r="G210" s="32"/>
    </row>
    <row r="211" spans="7:7" ht="12.75" customHeight="1" x14ac:dyDescent="0.2">
      <c r="G211" s="32"/>
    </row>
    <row r="212" spans="7:7" ht="12.75" customHeight="1" x14ac:dyDescent="0.2">
      <c r="G212" s="32"/>
    </row>
    <row r="213" spans="7:7" ht="12.75" customHeight="1" x14ac:dyDescent="0.2">
      <c r="G213" s="32"/>
    </row>
    <row r="214" spans="7:7" ht="12.75" customHeight="1" x14ac:dyDescent="0.2">
      <c r="G214" s="32"/>
    </row>
    <row r="215" spans="7:7" ht="12.75" customHeight="1" x14ac:dyDescent="0.2">
      <c r="G215" s="32"/>
    </row>
    <row r="216" spans="7:7" ht="12.75" customHeight="1" x14ac:dyDescent="0.2">
      <c r="G216" s="32"/>
    </row>
    <row r="217" spans="7:7" ht="12.75" customHeight="1" x14ac:dyDescent="0.2">
      <c r="G217" s="32"/>
    </row>
    <row r="218" spans="7:7" ht="12.75" customHeight="1" x14ac:dyDescent="0.2">
      <c r="G218" s="32"/>
    </row>
    <row r="219" spans="7:7" ht="12.75" customHeight="1" x14ac:dyDescent="0.2">
      <c r="G219" s="32"/>
    </row>
    <row r="220" spans="7:7" ht="12.75" customHeight="1" x14ac:dyDescent="0.2">
      <c r="G220" s="32"/>
    </row>
    <row r="221" spans="7:7" ht="12.75" customHeight="1" x14ac:dyDescent="0.2">
      <c r="G221" s="32"/>
    </row>
    <row r="222" spans="7:7" ht="12.75" customHeight="1" x14ac:dyDescent="0.2">
      <c r="G222" s="32"/>
    </row>
    <row r="223" spans="7:7" ht="12.75" customHeight="1" x14ac:dyDescent="0.2">
      <c r="G223" s="32"/>
    </row>
    <row r="224" spans="7:7" ht="12.75" customHeight="1" x14ac:dyDescent="0.2">
      <c r="G224" s="32"/>
    </row>
    <row r="225" spans="7:7" ht="12.75" customHeight="1" x14ac:dyDescent="0.2">
      <c r="G225" s="32"/>
    </row>
    <row r="226" spans="7:7" ht="12.75" customHeight="1" x14ac:dyDescent="0.2">
      <c r="G226" s="32"/>
    </row>
    <row r="227" spans="7:7" ht="12.75" customHeight="1" x14ac:dyDescent="0.2">
      <c r="G227" s="32"/>
    </row>
    <row r="228" spans="7:7" ht="12.75" customHeight="1" x14ac:dyDescent="0.2">
      <c r="G228" s="32"/>
    </row>
    <row r="229" spans="7:7" ht="12.75" customHeight="1" x14ac:dyDescent="0.2">
      <c r="G229" s="32"/>
    </row>
    <row r="230" spans="7:7" ht="12.75" customHeight="1" x14ac:dyDescent="0.2">
      <c r="G230" s="32"/>
    </row>
    <row r="231" spans="7:7" ht="12.75" customHeight="1" x14ac:dyDescent="0.2">
      <c r="G231" s="32"/>
    </row>
    <row r="232" spans="7:7" ht="12.75" customHeight="1" x14ac:dyDescent="0.2">
      <c r="G232" s="32"/>
    </row>
    <row r="233" spans="7:7" ht="12.75" customHeight="1" x14ac:dyDescent="0.2">
      <c r="G233" s="32"/>
    </row>
    <row r="234" spans="7:7" ht="12.75" customHeight="1" x14ac:dyDescent="0.2">
      <c r="G234" s="32"/>
    </row>
    <row r="235" spans="7:7" ht="12.75" customHeight="1" x14ac:dyDescent="0.2">
      <c r="G235" s="32"/>
    </row>
    <row r="236" spans="7:7" ht="12.75" customHeight="1" x14ac:dyDescent="0.2">
      <c r="G236" s="32"/>
    </row>
    <row r="237" spans="7:7" ht="12.75" customHeight="1" x14ac:dyDescent="0.2">
      <c r="G237" s="32"/>
    </row>
    <row r="238" spans="7:7" ht="12.75" customHeight="1" x14ac:dyDescent="0.2">
      <c r="G238" s="32"/>
    </row>
    <row r="239" spans="7:7" ht="12.75" customHeight="1" x14ac:dyDescent="0.2">
      <c r="G239" s="32"/>
    </row>
    <row r="240" spans="7:7" ht="12.75" customHeight="1" x14ac:dyDescent="0.2">
      <c r="G240" s="32"/>
    </row>
    <row r="241" spans="7:7" ht="12.75" customHeight="1" x14ac:dyDescent="0.2">
      <c r="G241" s="32"/>
    </row>
    <row r="242" spans="7:7" ht="12.75" customHeight="1" x14ac:dyDescent="0.2">
      <c r="G242" s="32"/>
    </row>
    <row r="243" spans="7:7" ht="12.75" customHeight="1" x14ac:dyDescent="0.2">
      <c r="G243" s="32"/>
    </row>
    <row r="244" spans="7:7" ht="12.75" customHeight="1" x14ac:dyDescent="0.2">
      <c r="G244" s="32"/>
    </row>
    <row r="245" spans="7:7" ht="12.75" customHeight="1" x14ac:dyDescent="0.2">
      <c r="G245" s="32"/>
    </row>
    <row r="246" spans="7:7" ht="12.75" customHeight="1" x14ac:dyDescent="0.2">
      <c r="G246" s="32"/>
    </row>
    <row r="247" spans="7:7" ht="12.75" customHeight="1" x14ac:dyDescent="0.2">
      <c r="G247" s="32"/>
    </row>
    <row r="248" spans="7:7" ht="12.75" customHeight="1" x14ac:dyDescent="0.2">
      <c r="G248" s="32"/>
    </row>
    <row r="249" spans="7:7" ht="12.75" customHeight="1" x14ac:dyDescent="0.2">
      <c r="G249" s="32"/>
    </row>
    <row r="250" spans="7:7" ht="12.75" customHeight="1" x14ac:dyDescent="0.2">
      <c r="G250" s="32"/>
    </row>
    <row r="251" spans="7:7" ht="12.75" customHeight="1" x14ac:dyDescent="0.2">
      <c r="G251" s="32"/>
    </row>
    <row r="252" spans="7:7" ht="12.75" customHeight="1" x14ac:dyDescent="0.2">
      <c r="G252" s="32"/>
    </row>
    <row r="253" spans="7:7" ht="12.75" customHeight="1" x14ac:dyDescent="0.2">
      <c r="G253" s="32"/>
    </row>
    <row r="254" spans="7:7" ht="12.75" customHeight="1" x14ac:dyDescent="0.2">
      <c r="G254" s="32"/>
    </row>
    <row r="255" spans="7:7" ht="12.75" customHeight="1" x14ac:dyDescent="0.2">
      <c r="G255" s="32"/>
    </row>
    <row r="256" spans="7:7" ht="12.75" customHeight="1" x14ac:dyDescent="0.2">
      <c r="G256" s="32"/>
    </row>
    <row r="257" spans="7:7" ht="12.75" customHeight="1" x14ac:dyDescent="0.2">
      <c r="G257" s="32"/>
    </row>
    <row r="258" spans="7:7" ht="12.75" customHeight="1" x14ac:dyDescent="0.2">
      <c r="G258" s="32"/>
    </row>
    <row r="259" spans="7:7" ht="12.75" customHeight="1" x14ac:dyDescent="0.2">
      <c r="G259" s="32"/>
    </row>
    <row r="260" spans="7:7" ht="12.75" customHeight="1" x14ac:dyDescent="0.2">
      <c r="G260" s="32"/>
    </row>
    <row r="261" spans="7:7" ht="12.75" customHeight="1" x14ac:dyDescent="0.2">
      <c r="G261" s="32"/>
    </row>
    <row r="262" spans="7:7" ht="12.75" customHeight="1" x14ac:dyDescent="0.2">
      <c r="G262" s="32"/>
    </row>
    <row r="263" spans="7:7" ht="12.75" customHeight="1" x14ac:dyDescent="0.2">
      <c r="G263" s="32"/>
    </row>
    <row r="264" spans="7:7" ht="12.75" customHeight="1" x14ac:dyDescent="0.2">
      <c r="G264" s="32"/>
    </row>
    <row r="265" spans="7:7" ht="12.75" customHeight="1" x14ac:dyDescent="0.2">
      <c r="G265" s="32"/>
    </row>
    <row r="266" spans="7:7" ht="12.75" customHeight="1" x14ac:dyDescent="0.2">
      <c r="G266" s="32"/>
    </row>
    <row r="267" spans="7:7" ht="12.75" customHeight="1" x14ac:dyDescent="0.2">
      <c r="G267" s="32"/>
    </row>
    <row r="268" spans="7:7" ht="12.75" customHeight="1" x14ac:dyDescent="0.2">
      <c r="G268" s="32"/>
    </row>
    <row r="269" spans="7:7" ht="12.75" customHeight="1" x14ac:dyDescent="0.2">
      <c r="G269" s="32"/>
    </row>
    <row r="270" spans="7:7" ht="12.75" customHeight="1" x14ac:dyDescent="0.2">
      <c r="G270" s="32"/>
    </row>
    <row r="271" spans="7:7" ht="12.75" customHeight="1" x14ac:dyDescent="0.2">
      <c r="G271" s="32"/>
    </row>
    <row r="272" spans="7:7" ht="12.75" customHeight="1" x14ac:dyDescent="0.2">
      <c r="G272" s="32"/>
    </row>
    <row r="273" spans="7:7" ht="12.75" customHeight="1" x14ac:dyDescent="0.2">
      <c r="G273" s="32"/>
    </row>
    <row r="274" spans="7:7" ht="12.75" customHeight="1" x14ac:dyDescent="0.2">
      <c r="G274" s="32"/>
    </row>
    <row r="275" spans="7:7" ht="12.75" customHeight="1" x14ac:dyDescent="0.2">
      <c r="G275" s="32"/>
    </row>
    <row r="276" spans="7:7" ht="12.75" customHeight="1" x14ac:dyDescent="0.2">
      <c r="G276" s="32"/>
    </row>
    <row r="277" spans="7:7" ht="12.75" customHeight="1" x14ac:dyDescent="0.2">
      <c r="G277" s="32"/>
    </row>
    <row r="278" spans="7:7" ht="12.75" customHeight="1" x14ac:dyDescent="0.2">
      <c r="G278" s="32"/>
    </row>
    <row r="279" spans="7:7" ht="12.75" customHeight="1" x14ac:dyDescent="0.2">
      <c r="G279" s="32"/>
    </row>
    <row r="280" spans="7:7" ht="12.75" customHeight="1" x14ac:dyDescent="0.2">
      <c r="G280" s="32"/>
    </row>
    <row r="281" spans="7:7" ht="12.75" customHeight="1" x14ac:dyDescent="0.2">
      <c r="G281" s="32"/>
    </row>
    <row r="282" spans="7:7" ht="12.75" customHeight="1" x14ac:dyDescent="0.2">
      <c r="G282" s="32"/>
    </row>
    <row r="283" spans="7:7" ht="12.75" customHeight="1" x14ac:dyDescent="0.2">
      <c r="G283" s="32"/>
    </row>
    <row r="284" spans="7:7" ht="12.75" customHeight="1" x14ac:dyDescent="0.2">
      <c r="G284" s="32"/>
    </row>
    <row r="285" spans="7:7" ht="12.75" customHeight="1" x14ac:dyDescent="0.2">
      <c r="G285" s="32"/>
    </row>
    <row r="286" spans="7:7" ht="12.75" customHeight="1" x14ac:dyDescent="0.2">
      <c r="G286" s="32"/>
    </row>
    <row r="287" spans="7:7" ht="12.75" customHeight="1" x14ac:dyDescent="0.2">
      <c r="G287" s="32"/>
    </row>
    <row r="288" spans="7:7" ht="12.75" customHeight="1" x14ac:dyDescent="0.2">
      <c r="G288" s="32"/>
    </row>
    <row r="289" spans="7:7" ht="12.75" customHeight="1" x14ac:dyDescent="0.2">
      <c r="G289" s="32"/>
    </row>
    <row r="290" spans="7:7" ht="12.75" customHeight="1" x14ac:dyDescent="0.2">
      <c r="G290" s="32"/>
    </row>
    <row r="291" spans="7:7" ht="12.75" customHeight="1" x14ac:dyDescent="0.2">
      <c r="G291" s="32"/>
    </row>
    <row r="292" spans="7:7" ht="12.75" customHeight="1" x14ac:dyDescent="0.2">
      <c r="G292" s="32"/>
    </row>
    <row r="293" spans="7:7" ht="12.75" customHeight="1" x14ac:dyDescent="0.2">
      <c r="G293" s="32"/>
    </row>
    <row r="294" spans="7:7" ht="12.75" customHeight="1" x14ac:dyDescent="0.2">
      <c r="G294" s="32"/>
    </row>
    <row r="295" spans="7:7" ht="12.75" customHeight="1" x14ac:dyDescent="0.2">
      <c r="G295" s="32"/>
    </row>
    <row r="296" spans="7:7" ht="12.75" customHeight="1" x14ac:dyDescent="0.2">
      <c r="G296" s="32"/>
    </row>
    <row r="297" spans="7:7" ht="12.75" customHeight="1" x14ac:dyDescent="0.2">
      <c r="G297" s="32"/>
    </row>
    <row r="298" spans="7:7" ht="12.75" customHeight="1" x14ac:dyDescent="0.2">
      <c r="G298" s="32"/>
    </row>
    <row r="299" spans="7:7" ht="12.75" customHeight="1" x14ac:dyDescent="0.2">
      <c r="G299" s="32"/>
    </row>
    <row r="300" spans="7:7" ht="12.75" customHeight="1" x14ac:dyDescent="0.2">
      <c r="G300" s="32"/>
    </row>
    <row r="301" spans="7:7" ht="12.75" customHeight="1" x14ac:dyDescent="0.2">
      <c r="G301" s="32"/>
    </row>
    <row r="302" spans="7:7" ht="12.75" customHeight="1" x14ac:dyDescent="0.2">
      <c r="G302" s="32"/>
    </row>
    <row r="303" spans="7:7" ht="12.75" customHeight="1" x14ac:dyDescent="0.2">
      <c r="G303" s="32"/>
    </row>
    <row r="304" spans="7:7" ht="12.75" customHeight="1" x14ac:dyDescent="0.2">
      <c r="G304" s="32"/>
    </row>
    <row r="305" spans="7:7" ht="12.75" customHeight="1" x14ac:dyDescent="0.2">
      <c r="G305" s="32"/>
    </row>
    <row r="306" spans="7:7" ht="12.75" customHeight="1" x14ac:dyDescent="0.2">
      <c r="G306" s="32"/>
    </row>
    <row r="307" spans="7:7" ht="12.75" customHeight="1" x14ac:dyDescent="0.2">
      <c r="G307" s="32"/>
    </row>
    <row r="308" spans="7:7" ht="12.75" customHeight="1" x14ac:dyDescent="0.2">
      <c r="G308" s="32"/>
    </row>
    <row r="309" spans="7:7" ht="12.75" customHeight="1" x14ac:dyDescent="0.2">
      <c r="G309" s="32"/>
    </row>
    <row r="310" spans="7:7" ht="12.75" customHeight="1" x14ac:dyDescent="0.2">
      <c r="G310" s="32"/>
    </row>
    <row r="311" spans="7:7" ht="12.75" customHeight="1" x14ac:dyDescent="0.2">
      <c r="G311" s="32"/>
    </row>
    <row r="312" spans="7:7" ht="12.75" customHeight="1" x14ac:dyDescent="0.2">
      <c r="G312" s="32"/>
    </row>
    <row r="313" spans="7:7" ht="12.75" customHeight="1" x14ac:dyDescent="0.2">
      <c r="G313" s="32"/>
    </row>
    <row r="314" spans="7:7" ht="12.75" customHeight="1" x14ac:dyDescent="0.2">
      <c r="G314" s="32"/>
    </row>
    <row r="315" spans="7:7" ht="12.75" customHeight="1" x14ac:dyDescent="0.2">
      <c r="G315" s="32"/>
    </row>
    <row r="316" spans="7:7" ht="12.75" customHeight="1" x14ac:dyDescent="0.2">
      <c r="G316" s="32"/>
    </row>
    <row r="317" spans="7:7" ht="12.75" customHeight="1" x14ac:dyDescent="0.2">
      <c r="G317" s="32"/>
    </row>
    <row r="318" spans="7:7" ht="12.75" customHeight="1" x14ac:dyDescent="0.2">
      <c r="G318" s="32"/>
    </row>
    <row r="319" spans="7:7" ht="12.75" customHeight="1" x14ac:dyDescent="0.2">
      <c r="G319" s="32"/>
    </row>
    <row r="320" spans="7:7" ht="12.75" customHeight="1" x14ac:dyDescent="0.2">
      <c r="G320" s="32"/>
    </row>
    <row r="321" spans="7:7" ht="12.75" customHeight="1" x14ac:dyDescent="0.2">
      <c r="G321" s="32"/>
    </row>
    <row r="322" spans="7:7" ht="12.75" customHeight="1" x14ac:dyDescent="0.2">
      <c r="G322" s="32"/>
    </row>
    <row r="323" spans="7:7" ht="12.75" customHeight="1" x14ac:dyDescent="0.2">
      <c r="G323" s="32"/>
    </row>
    <row r="324" spans="7:7" ht="12.75" customHeight="1" x14ac:dyDescent="0.2">
      <c r="G324" s="32"/>
    </row>
    <row r="325" spans="7:7" ht="12.75" customHeight="1" x14ac:dyDescent="0.2">
      <c r="G325" s="32"/>
    </row>
    <row r="326" spans="7:7" ht="12.75" customHeight="1" x14ac:dyDescent="0.2">
      <c r="G326" s="32"/>
    </row>
    <row r="327" spans="7:7" ht="12.75" customHeight="1" x14ac:dyDescent="0.2">
      <c r="G327" s="32"/>
    </row>
    <row r="328" spans="7:7" ht="12.75" customHeight="1" x14ac:dyDescent="0.2">
      <c r="G328" s="32"/>
    </row>
    <row r="329" spans="7:7" ht="12.75" customHeight="1" x14ac:dyDescent="0.2">
      <c r="G329" s="32"/>
    </row>
    <row r="330" spans="7:7" ht="12.75" customHeight="1" x14ac:dyDescent="0.2">
      <c r="G330" s="32"/>
    </row>
    <row r="331" spans="7:7" ht="12.75" customHeight="1" x14ac:dyDescent="0.2">
      <c r="G331" s="32"/>
    </row>
    <row r="332" spans="7:7" ht="12.75" customHeight="1" x14ac:dyDescent="0.2">
      <c r="G332" s="32"/>
    </row>
    <row r="333" spans="7:7" ht="12.75" customHeight="1" x14ac:dyDescent="0.2">
      <c r="G333" s="32"/>
    </row>
    <row r="334" spans="7:7" ht="12.75" customHeight="1" x14ac:dyDescent="0.2">
      <c r="G334" s="32"/>
    </row>
    <row r="335" spans="7:7" ht="12.75" customHeight="1" x14ac:dyDescent="0.2">
      <c r="G335" s="32"/>
    </row>
    <row r="336" spans="7:7" ht="12.75" customHeight="1" x14ac:dyDescent="0.2">
      <c r="G336" s="32"/>
    </row>
    <row r="337" spans="7:7" ht="12.75" customHeight="1" x14ac:dyDescent="0.2">
      <c r="G337" s="32"/>
    </row>
    <row r="338" spans="7:7" ht="12.75" customHeight="1" x14ac:dyDescent="0.2">
      <c r="G338" s="32"/>
    </row>
    <row r="339" spans="7:7" ht="12.75" customHeight="1" x14ac:dyDescent="0.2">
      <c r="G339" s="32"/>
    </row>
    <row r="340" spans="7:7" ht="12.75" customHeight="1" x14ac:dyDescent="0.2">
      <c r="G340" s="32"/>
    </row>
    <row r="341" spans="7:7" ht="12.75" customHeight="1" x14ac:dyDescent="0.2">
      <c r="G341" s="32"/>
    </row>
    <row r="342" spans="7:7" ht="12.75" customHeight="1" x14ac:dyDescent="0.2">
      <c r="G342" s="32"/>
    </row>
    <row r="343" spans="7:7" ht="12.75" customHeight="1" x14ac:dyDescent="0.2">
      <c r="G343" s="32"/>
    </row>
    <row r="344" spans="7:7" ht="12.75" customHeight="1" x14ac:dyDescent="0.2">
      <c r="G344" s="32"/>
    </row>
    <row r="345" spans="7:7" ht="12.75" customHeight="1" x14ac:dyDescent="0.2">
      <c r="G345" s="32"/>
    </row>
    <row r="346" spans="7:7" ht="12.75" customHeight="1" x14ac:dyDescent="0.2">
      <c r="G346" s="32"/>
    </row>
    <row r="347" spans="7:7" ht="12.75" customHeight="1" x14ac:dyDescent="0.2">
      <c r="G347" s="32"/>
    </row>
    <row r="348" spans="7:7" ht="12.75" customHeight="1" x14ac:dyDescent="0.2">
      <c r="G348" s="32"/>
    </row>
    <row r="349" spans="7:7" ht="12.75" customHeight="1" x14ac:dyDescent="0.2">
      <c r="G349" s="32"/>
    </row>
    <row r="350" spans="7:7" ht="12.75" customHeight="1" x14ac:dyDescent="0.2">
      <c r="G350" s="32"/>
    </row>
    <row r="351" spans="7:7" ht="12.75" customHeight="1" x14ac:dyDescent="0.2">
      <c r="G351" s="32"/>
    </row>
    <row r="352" spans="7:7" ht="12.75" customHeight="1" x14ac:dyDescent="0.2">
      <c r="G352" s="32"/>
    </row>
    <row r="353" spans="7:7" ht="12.75" customHeight="1" x14ac:dyDescent="0.2">
      <c r="G353" s="32"/>
    </row>
    <row r="354" spans="7:7" ht="12.75" customHeight="1" x14ac:dyDescent="0.2">
      <c r="G354" s="32"/>
    </row>
    <row r="355" spans="7:7" ht="12.75" customHeight="1" x14ac:dyDescent="0.2">
      <c r="G355" s="32"/>
    </row>
    <row r="356" spans="7:7" ht="12.75" customHeight="1" x14ac:dyDescent="0.2">
      <c r="G356" s="32"/>
    </row>
    <row r="357" spans="7:7" ht="12.75" customHeight="1" x14ac:dyDescent="0.2">
      <c r="G357" s="32"/>
    </row>
    <row r="358" spans="7:7" ht="12.75" customHeight="1" x14ac:dyDescent="0.2">
      <c r="G358" s="32"/>
    </row>
    <row r="359" spans="7:7" ht="12.75" customHeight="1" x14ac:dyDescent="0.2">
      <c r="G359" s="32"/>
    </row>
    <row r="360" spans="7:7" ht="12.75" customHeight="1" x14ac:dyDescent="0.2">
      <c r="G360" s="32"/>
    </row>
    <row r="361" spans="7:7" ht="12.75" customHeight="1" x14ac:dyDescent="0.2">
      <c r="G361" s="32"/>
    </row>
    <row r="362" spans="7:7" ht="12.75" customHeight="1" x14ac:dyDescent="0.2">
      <c r="G362" s="32"/>
    </row>
    <row r="363" spans="7:7" ht="12.75" customHeight="1" x14ac:dyDescent="0.2">
      <c r="G363" s="32"/>
    </row>
    <row r="364" spans="7:7" ht="12.75" customHeight="1" x14ac:dyDescent="0.2">
      <c r="G364" s="32"/>
    </row>
    <row r="365" spans="7:7" ht="12.75" customHeight="1" x14ac:dyDescent="0.2">
      <c r="G365" s="32"/>
    </row>
    <row r="366" spans="7:7" ht="12.75" customHeight="1" x14ac:dyDescent="0.2">
      <c r="G366" s="32"/>
    </row>
    <row r="367" spans="7:7" ht="12.75" customHeight="1" x14ac:dyDescent="0.2">
      <c r="G367" s="32"/>
    </row>
    <row r="368" spans="7:7" ht="12.75" customHeight="1" x14ac:dyDescent="0.2">
      <c r="G368" s="32"/>
    </row>
    <row r="369" spans="7:7" ht="12.75" customHeight="1" x14ac:dyDescent="0.2">
      <c r="G369" s="32"/>
    </row>
    <row r="370" spans="7:7" ht="12.75" customHeight="1" x14ac:dyDescent="0.2">
      <c r="G370" s="32"/>
    </row>
    <row r="371" spans="7:7" ht="12.75" customHeight="1" x14ac:dyDescent="0.2">
      <c r="G371" s="32"/>
    </row>
    <row r="372" spans="7:7" ht="12.75" customHeight="1" x14ac:dyDescent="0.2">
      <c r="G372" s="32"/>
    </row>
    <row r="373" spans="7:7" ht="12.75" customHeight="1" x14ac:dyDescent="0.2">
      <c r="G373" s="32"/>
    </row>
    <row r="374" spans="7:7" ht="12.75" customHeight="1" x14ac:dyDescent="0.2">
      <c r="G374" s="32"/>
    </row>
    <row r="375" spans="7:7" ht="12.75" customHeight="1" x14ac:dyDescent="0.2">
      <c r="G375" s="32"/>
    </row>
    <row r="376" spans="7:7" ht="12.75" customHeight="1" x14ac:dyDescent="0.2">
      <c r="G376" s="32"/>
    </row>
    <row r="377" spans="7:7" ht="12.75" customHeight="1" x14ac:dyDescent="0.2">
      <c r="G377" s="32"/>
    </row>
    <row r="378" spans="7:7" ht="12.75" customHeight="1" x14ac:dyDescent="0.2">
      <c r="G378" s="32"/>
    </row>
    <row r="379" spans="7:7" ht="12.75" customHeight="1" x14ac:dyDescent="0.2">
      <c r="G379" s="32"/>
    </row>
    <row r="380" spans="7:7" ht="12.75" customHeight="1" x14ac:dyDescent="0.2">
      <c r="G380" s="32"/>
    </row>
    <row r="381" spans="7:7" ht="12.75" customHeight="1" x14ac:dyDescent="0.2">
      <c r="G381" s="32"/>
    </row>
    <row r="382" spans="7:7" ht="12.75" customHeight="1" x14ac:dyDescent="0.2">
      <c r="G382" s="32"/>
    </row>
    <row r="383" spans="7:7" ht="12.75" customHeight="1" x14ac:dyDescent="0.2">
      <c r="G383" s="32"/>
    </row>
    <row r="384" spans="7:7" ht="12.75" customHeight="1" x14ac:dyDescent="0.2">
      <c r="G384" s="32"/>
    </row>
    <row r="385" spans="7:7" ht="12.75" customHeight="1" x14ac:dyDescent="0.2">
      <c r="G385" s="32"/>
    </row>
    <row r="386" spans="7:7" ht="12.75" customHeight="1" x14ac:dyDescent="0.2">
      <c r="G386" s="32"/>
    </row>
    <row r="387" spans="7:7" ht="12.75" customHeight="1" x14ac:dyDescent="0.2">
      <c r="G387" s="32"/>
    </row>
    <row r="388" spans="7:7" ht="12.75" customHeight="1" x14ac:dyDescent="0.2">
      <c r="G388" s="32"/>
    </row>
    <row r="389" spans="7:7" ht="12.75" customHeight="1" x14ac:dyDescent="0.2">
      <c r="G389" s="32"/>
    </row>
    <row r="390" spans="7:7" ht="12.75" customHeight="1" x14ac:dyDescent="0.2">
      <c r="G390" s="32"/>
    </row>
    <row r="391" spans="7:7" ht="12.75" customHeight="1" x14ac:dyDescent="0.2">
      <c r="G391" s="32"/>
    </row>
    <row r="392" spans="7:7" ht="12.75" customHeight="1" x14ac:dyDescent="0.2">
      <c r="G392" s="32"/>
    </row>
    <row r="393" spans="7:7" ht="12.75" customHeight="1" x14ac:dyDescent="0.2">
      <c r="G393" s="32"/>
    </row>
    <row r="394" spans="7:7" ht="12.75" customHeight="1" x14ac:dyDescent="0.2">
      <c r="G394" s="32"/>
    </row>
    <row r="395" spans="7:7" ht="12.75" customHeight="1" x14ac:dyDescent="0.2">
      <c r="G395" s="32"/>
    </row>
    <row r="396" spans="7:7" ht="12.75" customHeight="1" x14ac:dyDescent="0.2">
      <c r="G396" s="32"/>
    </row>
    <row r="397" spans="7:7" ht="12.75" customHeight="1" x14ac:dyDescent="0.2">
      <c r="G397" s="32"/>
    </row>
    <row r="398" spans="7:7" ht="12.75" customHeight="1" x14ac:dyDescent="0.2">
      <c r="G398" s="32"/>
    </row>
    <row r="399" spans="7:7" ht="12.75" customHeight="1" x14ac:dyDescent="0.2">
      <c r="G399" s="32"/>
    </row>
    <row r="400" spans="7:7" ht="12.75" customHeight="1" x14ac:dyDescent="0.2">
      <c r="G400" s="32"/>
    </row>
    <row r="401" spans="7:7" ht="12.75" customHeight="1" x14ac:dyDescent="0.2">
      <c r="G401" s="32"/>
    </row>
    <row r="402" spans="7:7" ht="12.75" customHeight="1" x14ac:dyDescent="0.2">
      <c r="G402" s="32"/>
    </row>
    <row r="403" spans="7:7" ht="12.75" customHeight="1" x14ac:dyDescent="0.2">
      <c r="G403" s="32"/>
    </row>
    <row r="404" spans="7:7" ht="12.75" customHeight="1" x14ac:dyDescent="0.2">
      <c r="G404" s="32"/>
    </row>
    <row r="405" spans="7:7" ht="12.75" customHeight="1" x14ac:dyDescent="0.2">
      <c r="G405" s="32"/>
    </row>
    <row r="406" spans="7:7" ht="12.75" customHeight="1" x14ac:dyDescent="0.2">
      <c r="G406" s="32"/>
    </row>
    <row r="407" spans="7:7" ht="12.75" customHeight="1" x14ac:dyDescent="0.2">
      <c r="G407" s="32"/>
    </row>
    <row r="408" spans="7:7" ht="12.75" customHeight="1" x14ac:dyDescent="0.2">
      <c r="G408" s="32"/>
    </row>
    <row r="409" spans="7:7" ht="12.75" customHeight="1" x14ac:dyDescent="0.2">
      <c r="G409" s="32"/>
    </row>
    <row r="410" spans="7:7" ht="12.75" customHeight="1" x14ac:dyDescent="0.2">
      <c r="G410" s="32"/>
    </row>
    <row r="411" spans="7:7" ht="12.75" customHeight="1" x14ac:dyDescent="0.2">
      <c r="G411" s="32"/>
    </row>
    <row r="412" spans="7:7" ht="12.75" customHeight="1" x14ac:dyDescent="0.2">
      <c r="G412" s="32"/>
    </row>
    <row r="413" spans="7:7" ht="12.75" customHeight="1" x14ac:dyDescent="0.2">
      <c r="G413" s="32"/>
    </row>
    <row r="414" spans="7:7" ht="12.75" customHeight="1" x14ac:dyDescent="0.2">
      <c r="G414" s="32"/>
    </row>
    <row r="415" spans="7:7" ht="12.75" customHeight="1" x14ac:dyDescent="0.2">
      <c r="G415" s="32"/>
    </row>
    <row r="416" spans="7:7" ht="12.75" customHeight="1" x14ac:dyDescent="0.2">
      <c r="G416" s="32"/>
    </row>
    <row r="417" spans="7:7" ht="12.75" customHeight="1" x14ac:dyDescent="0.2">
      <c r="G417" s="32"/>
    </row>
    <row r="418" spans="7:7" ht="12.75" customHeight="1" x14ac:dyDescent="0.2">
      <c r="G418" s="32"/>
    </row>
    <row r="419" spans="7:7" ht="12.75" customHeight="1" x14ac:dyDescent="0.2">
      <c r="G419" s="32"/>
    </row>
    <row r="420" spans="7:7" ht="12.75" customHeight="1" x14ac:dyDescent="0.2">
      <c r="G420" s="32"/>
    </row>
    <row r="421" spans="7:7" ht="12.75" customHeight="1" x14ac:dyDescent="0.2">
      <c r="G421" s="32"/>
    </row>
    <row r="422" spans="7:7" ht="12.75" customHeight="1" x14ac:dyDescent="0.2">
      <c r="G422" s="32"/>
    </row>
    <row r="423" spans="7:7" ht="12.75" customHeight="1" x14ac:dyDescent="0.2">
      <c r="G423" s="32"/>
    </row>
    <row r="424" spans="7:7" ht="12.75" customHeight="1" x14ac:dyDescent="0.2">
      <c r="G424" s="32"/>
    </row>
    <row r="425" spans="7:7" ht="12.75" customHeight="1" x14ac:dyDescent="0.2">
      <c r="G425" s="32"/>
    </row>
    <row r="426" spans="7:7" ht="12.75" customHeight="1" x14ac:dyDescent="0.2">
      <c r="G426" s="32"/>
    </row>
    <row r="427" spans="7:7" ht="12.75" customHeight="1" x14ac:dyDescent="0.2">
      <c r="G427" s="32"/>
    </row>
    <row r="428" spans="7:7" ht="12.75" customHeight="1" x14ac:dyDescent="0.2">
      <c r="G428" s="32"/>
    </row>
    <row r="429" spans="7:7" ht="12.75" customHeight="1" x14ac:dyDescent="0.2">
      <c r="G429" s="32"/>
    </row>
    <row r="430" spans="7:7" ht="12.75" customHeight="1" x14ac:dyDescent="0.2">
      <c r="G430" s="32"/>
    </row>
    <row r="431" spans="7:7" ht="12.75" customHeight="1" x14ac:dyDescent="0.2">
      <c r="G431" s="32"/>
    </row>
    <row r="432" spans="7:7" ht="12.75" customHeight="1" x14ac:dyDescent="0.2">
      <c r="G432" s="32"/>
    </row>
    <row r="433" spans="7:7" ht="12.75" customHeight="1" x14ac:dyDescent="0.2">
      <c r="G433" s="32"/>
    </row>
    <row r="434" spans="7:7" ht="12.75" customHeight="1" x14ac:dyDescent="0.2">
      <c r="G434" s="32"/>
    </row>
    <row r="435" spans="7:7" ht="12.75" customHeight="1" x14ac:dyDescent="0.2">
      <c r="G435" s="32"/>
    </row>
    <row r="436" spans="7:7" ht="12.75" customHeight="1" x14ac:dyDescent="0.2">
      <c r="G436" s="32"/>
    </row>
    <row r="437" spans="7:7" ht="12.75" customHeight="1" x14ac:dyDescent="0.2">
      <c r="G437" s="32"/>
    </row>
    <row r="438" spans="7:7" ht="12.75" customHeight="1" x14ac:dyDescent="0.2">
      <c r="G438" s="32"/>
    </row>
    <row r="439" spans="7:7" ht="12.75" customHeight="1" x14ac:dyDescent="0.2">
      <c r="G439" s="32"/>
    </row>
    <row r="440" spans="7:7" ht="12.75" customHeight="1" x14ac:dyDescent="0.2">
      <c r="G440" s="32"/>
    </row>
    <row r="441" spans="7:7" ht="12.75" customHeight="1" x14ac:dyDescent="0.2">
      <c r="G441" s="32"/>
    </row>
    <row r="442" spans="7:7" ht="12.75" customHeight="1" x14ac:dyDescent="0.2">
      <c r="G442" s="32"/>
    </row>
    <row r="443" spans="7:7" ht="12.75" customHeight="1" x14ac:dyDescent="0.2">
      <c r="G443" s="32"/>
    </row>
    <row r="444" spans="7:7" ht="12.75" customHeight="1" x14ac:dyDescent="0.2">
      <c r="G444" s="32"/>
    </row>
    <row r="445" spans="7:7" ht="12.75" customHeight="1" x14ac:dyDescent="0.2">
      <c r="G445" s="32"/>
    </row>
    <row r="446" spans="7:7" ht="12.75" customHeight="1" x14ac:dyDescent="0.2">
      <c r="G446" s="32"/>
    </row>
    <row r="447" spans="7:7" ht="12.75" customHeight="1" x14ac:dyDescent="0.2">
      <c r="G447" s="32"/>
    </row>
    <row r="448" spans="7:7" ht="12.75" customHeight="1" x14ac:dyDescent="0.2">
      <c r="G448" s="32"/>
    </row>
    <row r="449" spans="7:7" ht="12.75" customHeight="1" x14ac:dyDescent="0.2">
      <c r="G449" s="32"/>
    </row>
    <row r="450" spans="7:7" ht="12.75" customHeight="1" x14ac:dyDescent="0.2">
      <c r="G450" s="32"/>
    </row>
    <row r="451" spans="7:7" ht="12.75" customHeight="1" x14ac:dyDescent="0.2">
      <c r="G451" s="32"/>
    </row>
    <row r="452" spans="7:7" ht="12.75" customHeight="1" x14ac:dyDescent="0.2">
      <c r="G452" s="32"/>
    </row>
    <row r="453" spans="7:7" ht="12.75" customHeight="1" x14ac:dyDescent="0.2">
      <c r="G453" s="32"/>
    </row>
    <row r="454" spans="7:7" ht="12.75" customHeight="1" x14ac:dyDescent="0.2">
      <c r="G454" s="32"/>
    </row>
    <row r="455" spans="7:7" ht="12.75" customHeight="1" x14ac:dyDescent="0.2">
      <c r="G455" s="32"/>
    </row>
    <row r="456" spans="7:7" ht="12.75" customHeight="1" x14ac:dyDescent="0.2">
      <c r="G456" s="32"/>
    </row>
    <row r="457" spans="7:7" ht="12.75" customHeight="1" x14ac:dyDescent="0.2">
      <c r="G457" s="32"/>
    </row>
    <row r="458" spans="7:7" ht="12.75" customHeight="1" x14ac:dyDescent="0.2">
      <c r="G458" s="32"/>
    </row>
    <row r="459" spans="7:7" ht="12.75" customHeight="1" x14ac:dyDescent="0.2">
      <c r="G459" s="32"/>
    </row>
    <row r="460" spans="7:7" ht="12.75" customHeight="1" x14ac:dyDescent="0.2">
      <c r="G460" s="32"/>
    </row>
    <row r="461" spans="7:7" ht="12.75" customHeight="1" x14ac:dyDescent="0.2">
      <c r="G461" s="32"/>
    </row>
    <row r="462" spans="7:7" ht="12.75" customHeight="1" x14ac:dyDescent="0.2">
      <c r="G462" s="32"/>
    </row>
    <row r="463" spans="7:7" ht="12.75" customHeight="1" x14ac:dyDescent="0.2">
      <c r="G463" s="32"/>
    </row>
    <row r="464" spans="7:7" ht="12.75" customHeight="1" x14ac:dyDescent="0.2">
      <c r="G464" s="32"/>
    </row>
    <row r="465" spans="7:7" ht="12.75" customHeight="1" x14ac:dyDescent="0.2">
      <c r="G465" s="32"/>
    </row>
    <row r="466" spans="7:7" ht="12.75" customHeight="1" x14ac:dyDescent="0.2">
      <c r="G466" s="32"/>
    </row>
    <row r="467" spans="7:7" ht="12.75" customHeight="1" x14ac:dyDescent="0.2">
      <c r="G467" s="32"/>
    </row>
    <row r="468" spans="7:7" ht="12.75" customHeight="1" x14ac:dyDescent="0.2">
      <c r="G468" s="32"/>
    </row>
    <row r="469" spans="7:7" ht="12.75" customHeight="1" x14ac:dyDescent="0.2">
      <c r="G469" s="32"/>
    </row>
    <row r="470" spans="7:7" ht="12.75" customHeight="1" x14ac:dyDescent="0.2">
      <c r="G470" s="32"/>
    </row>
    <row r="471" spans="7:7" ht="12.75" customHeight="1" x14ac:dyDescent="0.2">
      <c r="G471" s="32"/>
    </row>
    <row r="472" spans="7:7" ht="12.75" customHeight="1" x14ac:dyDescent="0.2">
      <c r="G472" s="32"/>
    </row>
    <row r="473" spans="7:7" ht="12.75" customHeight="1" x14ac:dyDescent="0.2">
      <c r="G473" s="32"/>
    </row>
    <row r="474" spans="7:7" ht="12.75" customHeight="1" x14ac:dyDescent="0.2">
      <c r="G474" s="32"/>
    </row>
    <row r="475" spans="7:7" ht="12.75" customHeight="1" x14ac:dyDescent="0.2">
      <c r="G475" s="32"/>
    </row>
    <row r="476" spans="7:7" ht="12.75" customHeight="1" x14ac:dyDescent="0.2">
      <c r="G476" s="32"/>
    </row>
    <row r="477" spans="7:7" ht="12.75" customHeight="1" x14ac:dyDescent="0.2">
      <c r="G477" s="32"/>
    </row>
    <row r="478" spans="7:7" ht="12.75" customHeight="1" x14ac:dyDescent="0.2">
      <c r="G478" s="32"/>
    </row>
    <row r="479" spans="7:7" ht="12.75" customHeight="1" x14ac:dyDescent="0.2">
      <c r="G479" s="32"/>
    </row>
    <row r="480" spans="7:7" ht="12.75" customHeight="1" x14ac:dyDescent="0.2">
      <c r="G480" s="32"/>
    </row>
    <row r="481" spans="7:7" ht="12.75" customHeight="1" x14ac:dyDescent="0.2">
      <c r="G481" s="32"/>
    </row>
    <row r="482" spans="7:7" ht="12.75" customHeight="1" x14ac:dyDescent="0.2">
      <c r="G482" s="32"/>
    </row>
    <row r="483" spans="7:7" ht="12.75" customHeight="1" x14ac:dyDescent="0.2">
      <c r="G483" s="32"/>
    </row>
    <row r="484" spans="7:7" ht="12.75" customHeight="1" x14ac:dyDescent="0.2">
      <c r="G484" s="32"/>
    </row>
    <row r="485" spans="7:7" ht="12.75" customHeight="1" x14ac:dyDescent="0.2">
      <c r="G485" s="32"/>
    </row>
    <row r="486" spans="7:7" ht="12.75" customHeight="1" x14ac:dyDescent="0.2">
      <c r="G486" s="32"/>
    </row>
    <row r="487" spans="7:7" ht="12.75" customHeight="1" x14ac:dyDescent="0.2">
      <c r="G487" s="32"/>
    </row>
    <row r="488" spans="7:7" ht="12.75" customHeight="1" x14ac:dyDescent="0.2">
      <c r="G488" s="32"/>
    </row>
    <row r="489" spans="7:7" ht="12.75" customHeight="1" x14ac:dyDescent="0.2">
      <c r="G489" s="32"/>
    </row>
    <row r="490" spans="7:7" ht="12.75" customHeight="1" x14ac:dyDescent="0.2">
      <c r="G490" s="32"/>
    </row>
    <row r="491" spans="7:7" ht="12.75" customHeight="1" x14ac:dyDescent="0.2">
      <c r="G491" s="32"/>
    </row>
    <row r="492" spans="7:7" ht="12.75" customHeight="1" x14ac:dyDescent="0.2">
      <c r="G492" s="32"/>
    </row>
    <row r="493" spans="7:7" ht="12.75" customHeight="1" x14ac:dyDescent="0.2">
      <c r="G493" s="32"/>
    </row>
    <row r="494" spans="7:7" ht="12.75" customHeight="1" x14ac:dyDescent="0.2">
      <c r="G494" s="32"/>
    </row>
    <row r="495" spans="7:7" ht="12.75" customHeight="1" x14ac:dyDescent="0.2">
      <c r="G495" s="32"/>
    </row>
    <row r="496" spans="7:7" ht="12.75" customHeight="1" x14ac:dyDescent="0.2">
      <c r="G496" s="32"/>
    </row>
    <row r="497" spans="7:7" ht="12.75" customHeight="1" x14ac:dyDescent="0.2">
      <c r="G497" s="32"/>
    </row>
    <row r="498" spans="7:7" ht="12.75" customHeight="1" x14ac:dyDescent="0.2">
      <c r="G498" s="32"/>
    </row>
    <row r="499" spans="7:7" ht="12.75" customHeight="1" x14ac:dyDescent="0.2">
      <c r="G499" s="32"/>
    </row>
    <row r="500" spans="7:7" ht="12.75" customHeight="1" x14ac:dyDescent="0.2">
      <c r="G500" s="32"/>
    </row>
    <row r="501" spans="7:7" ht="12.75" customHeight="1" x14ac:dyDescent="0.2">
      <c r="G501" s="32"/>
    </row>
    <row r="502" spans="7:7" ht="12.75" customHeight="1" x14ac:dyDescent="0.2">
      <c r="G502" s="32"/>
    </row>
    <row r="503" spans="7:7" ht="12.75" customHeight="1" x14ac:dyDescent="0.2">
      <c r="G503" s="32"/>
    </row>
    <row r="504" spans="7:7" ht="12.75" customHeight="1" x14ac:dyDescent="0.2">
      <c r="G504" s="32"/>
    </row>
    <row r="505" spans="7:7" ht="12.75" customHeight="1" x14ac:dyDescent="0.2">
      <c r="G505" s="32"/>
    </row>
    <row r="506" spans="7:7" ht="12.75" customHeight="1" x14ac:dyDescent="0.2">
      <c r="G506" s="32"/>
    </row>
    <row r="507" spans="7:7" ht="12.75" customHeight="1" x14ac:dyDescent="0.2">
      <c r="G507" s="32"/>
    </row>
    <row r="508" spans="7:7" ht="12.75" customHeight="1" x14ac:dyDescent="0.2">
      <c r="G508" s="32"/>
    </row>
    <row r="509" spans="7:7" ht="12.75" customHeight="1" x14ac:dyDescent="0.2">
      <c r="G509" s="32"/>
    </row>
    <row r="510" spans="7:7" ht="12.75" customHeight="1" x14ac:dyDescent="0.2">
      <c r="G510" s="32"/>
    </row>
    <row r="511" spans="7:7" ht="12.75" customHeight="1" x14ac:dyDescent="0.2">
      <c r="G511" s="32"/>
    </row>
    <row r="512" spans="7:7" ht="12.75" customHeight="1" x14ac:dyDescent="0.2">
      <c r="G512" s="32"/>
    </row>
    <row r="513" spans="7:7" ht="12.75" customHeight="1" x14ac:dyDescent="0.2">
      <c r="G513" s="32"/>
    </row>
    <row r="514" spans="7:7" ht="12.75" customHeight="1" x14ac:dyDescent="0.2">
      <c r="G514" s="32"/>
    </row>
    <row r="515" spans="7:7" ht="12.75" customHeight="1" x14ac:dyDescent="0.2">
      <c r="G515" s="32"/>
    </row>
    <row r="516" spans="7:7" ht="12.75" customHeight="1" x14ac:dyDescent="0.2">
      <c r="G516" s="32"/>
    </row>
    <row r="517" spans="7:7" ht="12.75" customHeight="1" x14ac:dyDescent="0.2">
      <c r="G517" s="32"/>
    </row>
    <row r="518" spans="7:7" ht="12.75" customHeight="1" x14ac:dyDescent="0.2">
      <c r="G518" s="32"/>
    </row>
    <row r="519" spans="7:7" ht="12.75" customHeight="1" x14ac:dyDescent="0.2">
      <c r="G519" s="32"/>
    </row>
    <row r="520" spans="7:7" ht="12.75" customHeight="1" x14ac:dyDescent="0.2">
      <c r="G520" s="32"/>
    </row>
    <row r="521" spans="7:7" ht="12.75" customHeight="1" x14ac:dyDescent="0.2">
      <c r="G521" s="32"/>
    </row>
    <row r="522" spans="7:7" ht="12.75" customHeight="1" x14ac:dyDescent="0.2">
      <c r="G522" s="32"/>
    </row>
    <row r="523" spans="7:7" ht="12.75" customHeight="1" x14ac:dyDescent="0.2">
      <c r="G523" s="32"/>
    </row>
    <row r="524" spans="7:7" ht="12.75" customHeight="1" x14ac:dyDescent="0.2">
      <c r="G524" s="32"/>
    </row>
    <row r="525" spans="7:7" ht="12.75" customHeight="1" x14ac:dyDescent="0.2">
      <c r="G525" s="32"/>
    </row>
    <row r="526" spans="7:7" ht="12.75" customHeight="1" x14ac:dyDescent="0.2">
      <c r="G526" s="32"/>
    </row>
    <row r="527" spans="7:7" ht="12.75" customHeight="1" x14ac:dyDescent="0.2">
      <c r="G527" s="32"/>
    </row>
    <row r="528" spans="7:7" ht="12.75" customHeight="1" x14ac:dyDescent="0.2">
      <c r="G528" s="32"/>
    </row>
    <row r="529" spans="7:7" ht="12.75" customHeight="1" x14ac:dyDescent="0.2">
      <c r="G529" s="32"/>
    </row>
    <row r="530" spans="7:7" ht="12.75" customHeight="1" x14ac:dyDescent="0.2">
      <c r="G530" s="32"/>
    </row>
    <row r="531" spans="7:7" ht="12.75" customHeight="1" x14ac:dyDescent="0.2">
      <c r="G531" s="32"/>
    </row>
    <row r="532" spans="7:7" ht="12.75" customHeight="1" x14ac:dyDescent="0.2">
      <c r="G532" s="32"/>
    </row>
    <row r="533" spans="7:7" ht="12.75" customHeight="1" x14ac:dyDescent="0.2">
      <c r="G533" s="32"/>
    </row>
    <row r="534" spans="7:7" ht="12.75" customHeight="1" x14ac:dyDescent="0.2">
      <c r="G534" s="32"/>
    </row>
    <row r="535" spans="7:7" ht="12.75" customHeight="1" x14ac:dyDescent="0.2">
      <c r="G535" s="32"/>
    </row>
    <row r="536" spans="7:7" ht="12.75" customHeight="1" x14ac:dyDescent="0.2">
      <c r="G536" s="32"/>
    </row>
    <row r="537" spans="7:7" ht="12.75" customHeight="1" x14ac:dyDescent="0.2">
      <c r="G537" s="32"/>
    </row>
    <row r="538" spans="7:7" ht="12.75" customHeight="1" x14ac:dyDescent="0.2">
      <c r="G538" s="32"/>
    </row>
    <row r="539" spans="7:7" ht="12.75" customHeight="1" x14ac:dyDescent="0.2">
      <c r="G539" s="32"/>
    </row>
    <row r="540" spans="7:7" ht="12.75" customHeight="1" x14ac:dyDescent="0.2">
      <c r="G540" s="32"/>
    </row>
    <row r="541" spans="7:7" ht="12.75" customHeight="1" x14ac:dyDescent="0.2">
      <c r="G541" s="32"/>
    </row>
    <row r="542" spans="7:7" ht="12.75" customHeight="1" x14ac:dyDescent="0.2">
      <c r="G542" s="32"/>
    </row>
    <row r="543" spans="7:7" ht="12.75" customHeight="1" x14ac:dyDescent="0.2">
      <c r="G543" s="32"/>
    </row>
    <row r="544" spans="7:7" ht="12.75" customHeight="1" x14ac:dyDescent="0.2">
      <c r="G544" s="32"/>
    </row>
    <row r="545" spans="7:7" ht="12.75" customHeight="1" x14ac:dyDescent="0.2">
      <c r="G545" s="32"/>
    </row>
    <row r="546" spans="7:7" ht="12.75" customHeight="1" x14ac:dyDescent="0.2">
      <c r="G546" s="32"/>
    </row>
    <row r="547" spans="7:7" ht="12.75" customHeight="1" x14ac:dyDescent="0.2">
      <c r="G547" s="32"/>
    </row>
    <row r="548" spans="7:7" ht="12.75" customHeight="1" x14ac:dyDescent="0.2">
      <c r="G548" s="32"/>
    </row>
    <row r="549" spans="7:7" ht="12.75" customHeight="1" x14ac:dyDescent="0.2">
      <c r="G549" s="32"/>
    </row>
    <row r="550" spans="7:7" ht="12.75" customHeight="1" x14ac:dyDescent="0.2">
      <c r="G550" s="32"/>
    </row>
    <row r="551" spans="7:7" ht="12.75" customHeight="1" x14ac:dyDescent="0.2">
      <c r="G551" s="32"/>
    </row>
    <row r="552" spans="7:7" ht="12.75" customHeight="1" x14ac:dyDescent="0.2">
      <c r="G552" s="32"/>
    </row>
    <row r="553" spans="7:7" ht="12.75" customHeight="1" x14ac:dyDescent="0.2">
      <c r="G553" s="32"/>
    </row>
    <row r="554" spans="7:7" ht="12.75" customHeight="1" x14ac:dyDescent="0.2">
      <c r="G554" s="32"/>
    </row>
    <row r="555" spans="7:7" ht="12.75" customHeight="1" x14ac:dyDescent="0.2">
      <c r="G555" s="32"/>
    </row>
    <row r="556" spans="7:7" ht="12.75" customHeight="1" x14ac:dyDescent="0.2">
      <c r="G556" s="32"/>
    </row>
    <row r="557" spans="7:7" ht="12.75" customHeight="1" x14ac:dyDescent="0.2">
      <c r="G557" s="32"/>
    </row>
    <row r="558" spans="7:7" ht="12.75" customHeight="1" x14ac:dyDescent="0.2">
      <c r="G558" s="32"/>
    </row>
    <row r="559" spans="7:7" ht="12.75" customHeight="1" x14ac:dyDescent="0.2">
      <c r="G559" s="32"/>
    </row>
    <row r="560" spans="7:7" ht="12.75" customHeight="1" x14ac:dyDescent="0.2">
      <c r="G560" s="32"/>
    </row>
    <row r="561" spans="7:7" ht="12.75" customHeight="1" x14ac:dyDescent="0.2">
      <c r="G561" s="32"/>
    </row>
    <row r="562" spans="7:7" ht="12.75" customHeight="1" x14ac:dyDescent="0.2">
      <c r="G562" s="32"/>
    </row>
    <row r="563" spans="7:7" ht="12.75" customHeight="1" x14ac:dyDescent="0.2">
      <c r="G563" s="32"/>
    </row>
    <row r="564" spans="7:7" ht="12.75" customHeight="1" x14ac:dyDescent="0.2">
      <c r="G564" s="32"/>
    </row>
    <row r="565" spans="7:7" ht="12.75" customHeight="1" x14ac:dyDescent="0.2">
      <c r="G565" s="32"/>
    </row>
    <row r="566" spans="7:7" ht="12.75" customHeight="1" x14ac:dyDescent="0.2">
      <c r="G566" s="32"/>
    </row>
    <row r="567" spans="7:7" ht="12.75" customHeight="1" x14ac:dyDescent="0.2">
      <c r="G567" s="32"/>
    </row>
    <row r="568" spans="7:7" ht="12.75" customHeight="1" x14ac:dyDescent="0.2">
      <c r="G568" s="32"/>
    </row>
    <row r="569" spans="7:7" ht="12.75" customHeight="1" x14ac:dyDescent="0.2">
      <c r="G569" s="32"/>
    </row>
    <row r="570" spans="7:7" ht="12.75" customHeight="1" x14ac:dyDescent="0.2">
      <c r="G570" s="32"/>
    </row>
    <row r="571" spans="7:7" ht="12.75" customHeight="1" x14ac:dyDescent="0.2">
      <c r="G571" s="32"/>
    </row>
    <row r="572" spans="7:7" ht="12.75" customHeight="1" x14ac:dyDescent="0.2">
      <c r="G572" s="32"/>
    </row>
    <row r="573" spans="7:7" ht="12.75" customHeight="1" x14ac:dyDescent="0.2">
      <c r="G573" s="32"/>
    </row>
    <row r="574" spans="7:7" ht="12.75" customHeight="1" x14ac:dyDescent="0.2">
      <c r="G574" s="32"/>
    </row>
    <row r="575" spans="7:7" ht="12.75" customHeight="1" x14ac:dyDescent="0.2">
      <c r="G575" s="32"/>
    </row>
    <row r="576" spans="7:7" ht="12.75" customHeight="1" x14ac:dyDescent="0.2">
      <c r="G576" s="32"/>
    </row>
    <row r="577" spans="7:7" ht="12.75" customHeight="1" x14ac:dyDescent="0.2">
      <c r="G577" s="32"/>
    </row>
    <row r="578" spans="7:7" ht="12.75" customHeight="1" x14ac:dyDescent="0.2">
      <c r="G578" s="32"/>
    </row>
    <row r="579" spans="7:7" ht="12.75" customHeight="1" x14ac:dyDescent="0.2">
      <c r="G579" s="32"/>
    </row>
    <row r="580" spans="7:7" ht="12.75" customHeight="1" x14ac:dyDescent="0.2">
      <c r="G580" s="32"/>
    </row>
    <row r="581" spans="7:7" ht="12.75" customHeight="1" x14ac:dyDescent="0.2">
      <c r="G581" s="32"/>
    </row>
    <row r="582" spans="7:7" ht="12.75" customHeight="1" x14ac:dyDescent="0.2">
      <c r="G582" s="32"/>
    </row>
    <row r="583" spans="7:7" ht="12.75" customHeight="1" x14ac:dyDescent="0.2">
      <c r="G583" s="32"/>
    </row>
    <row r="584" spans="7:7" ht="12.75" customHeight="1" x14ac:dyDescent="0.2">
      <c r="G584" s="32"/>
    </row>
    <row r="585" spans="7:7" ht="12.75" customHeight="1" x14ac:dyDescent="0.2">
      <c r="G585" s="32"/>
    </row>
    <row r="586" spans="7:7" ht="12.75" customHeight="1" x14ac:dyDescent="0.2">
      <c r="G586" s="32"/>
    </row>
    <row r="587" spans="7:7" ht="12.75" customHeight="1" x14ac:dyDescent="0.2">
      <c r="G587" s="32"/>
    </row>
    <row r="588" spans="7:7" ht="12.75" customHeight="1" x14ac:dyDescent="0.2">
      <c r="G588" s="32"/>
    </row>
    <row r="589" spans="7:7" ht="12.75" customHeight="1" x14ac:dyDescent="0.2">
      <c r="G589" s="32"/>
    </row>
    <row r="590" spans="7:7" ht="12.75" customHeight="1" x14ac:dyDescent="0.2">
      <c r="G590" s="32"/>
    </row>
    <row r="591" spans="7:7" ht="12.75" customHeight="1" x14ac:dyDescent="0.2">
      <c r="G591" s="32"/>
    </row>
    <row r="592" spans="7:7" ht="12.75" customHeight="1" x14ac:dyDescent="0.2">
      <c r="G592" s="32"/>
    </row>
    <row r="593" spans="7:7" ht="12.75" customHeight="1" x14ac:dyDescent="0.2">
      <c r="G593" s="32"/>
    </row>
    <row r="594" spans="7:7" ht="12.75" customHeight="1" x14ac:dyDescent="0.2">
      <c r="G594" s="32"/>
    </row>
    <row r="595" spans="7:7" ht="12.75" customHeight="1" x14ac:dyDescent="0.2">
      <c r="G595" s="32"/>
    </row>
    <row r="596" spans="7:7" ht="12.75" customHeight="1" x14ac:dyDescent="0.2">
      <c r="G596" s="32"/>
    </row>
    <row r="597" spans="7:7" ht="12.75" customHeight="1" x14ac:dyDescent="0.2">
      <c r="G597" s="32"/>
    </row>
    <row r="598" spans="7:7" ht="12.75" customHeight="1" x14ac:dyDescent="0.2">
      <c r="G598" s="32"/>
    </row>
    <row r="599" spans="7:7" ht="12.75" customHeight="1" x14ac:dyDescent="0.2">
      <c r="G599" s="32"/>
    </row>
    <row r="600" spans="7:7" ht="12.75" customHeight="1" x14ac:dyDescent="0.2">
      <c r="G600" s="32"/>
    </row>
    <row r="601" spans="7:7" ht="12.75" customHeight="1" x14ac:dyDescent="0.2">
      <c r="G601" s="32"/>
    </row>
    <row r="602" spans="7:7" ht="12.75" customHeight="1" x14ac:dyDescent="0.2">
      <c r="G602" s="32"/>
    </row>
    <row r="603" spans="7:7" ht="12.75" customHeight="1" x14ac:dyDescent="0.2">
      <c r="G603" s="32"/>
    </row>
    <row r="604" spans="7:7" ht="12.75" customHeight="1" x14ac:dyDescent="0.2">
      <c r="G604" s="32"/>
    </row>
    <row r="605" spans="7:7" ht="12.75" customHeight="1" x14ac:dyDescent="0.2">
      <c r="G605" s="32"/>
    </row>
    <row r="606" spans="7:7" ht="12.75" customHeight="1" x14ac:dyDescent="0.2">
      <c r="G606" s="32"/>
    </row>
    <row r="607" spans="7:7" ht="12.75" customHeight="1" x14ac:dyDescent="0.2">
      <c r="G607" s="32"/>
    </row>
    <row r="608" spans="7:7" ht="12.75" customHeight="1" x14ac:dyDescent="0.2">
      <c r="G608" s="32"/>
    </row>
    <row r="609" spans="7:7" ht="12.75" customHeight="1" x14ac:dyDescent="0.2">
      <c r="G609" s="32"/>
    </row>
    <row r="610" spans="7:7" ht="12.75" customHeight="1" x14ac:dyDescent="0.2">
      <c r="G610" s="32"/>
    </row>
    <row r="611" spans="7:7" ht="12.75" customHeight="1" x14ac:dyDescent="0.2">
      <c r="G611" s="32"/>
    </row>
    <row r="612" spans="7:7" ht="12.75" customHeight="1" x14ac:dyDescent="0.2">
      <c r="G612" s="32"/>
    </row>
    <row r="613" spans="7:7" ht="12.75" customHeight="1" x14ac:dyDescent="0.2">
      <c r="G613" s="32"/>
    </row>
    <row r="614" spans="7:7" ht="12.75" customHeight="1" x14ac:dyDescent="0.2">
      <c r="G614" s="32"/>
    </row>
    <row r="615" spans="7:7" ht="12.75" customHeight="1" x14ac:dyDescent="0.2">
      <c r="G615" s="32"/>
    </row>
    <row r="616" spans="7:7" ht="12.75" customHeight="1" x14ac:dyDescent="0.2">
      <c r="G616" s="32"/>
    </row>
    <row r="617" spans="7:7" ht="12.75" customHeight="1" x14ac:dyDescent="0.2">
      <c r="G617" s="32"/>
    </row>
    <row r="618" spans="7:7" ht="12.75" customHeight="1" x14ac:dyDescent="0.2">
      <c r="G618" s="32"/>
    </row>
    <row r="619" spans="7:7" ht="12.75" customHeight="1" x14ac:dyDescent="0.2">
      <c r="G619" s="32"/>
    </row>
    <row r="620" spans="7:7" ht="12.75" customHeight="1" x14ac:dyDescent="0.2">
      <c r="G620" s="32"/>
    </row>
    <row r="621" spans="7:7" ht="12.75" customHeight="1" x14ac:dyDescent="0.2">
      <c r="G621" s="32"/>
    </row>
    <row r="622" spans="7:7" ht="12.75" customHeight="1" x14ac:dyDescent="0.2">
      <c r="G622" s="32"/>
    </row>
    <row r="623" spans="7:7" ht="12.75" customHeight="1" x14ac:dyDescent="0.2">
      <c r="G623" s="32"/>
    </row>
    <row r="624" spans="7:7" ht="12.75" customHeight="1" x14ac:dyDescent="0.2">
      <c r="G624" s="32"/>
    </row>
    <row r="625" spans="7:7" ht="12.75" customHeight="1" x14ac:dyDescent="0.2">
      <c r="G625" s="32"/>
    </row>
    <row r="626" spans="7:7" ht="12.75" customHeight="1" x14ac:dyDescent="0.2">
      <c r="G626" s="32"/>
    </row>
    <row r="627" spans="7:7" ht="12.75" customHeight="1" x14ac:dyDescent="0.2">
      <c r="G627" s="32"/>
    </row>
    <row r="628" spans="7:7" ht="12.75" customHeight="1" x14ac:dyDescent="0.2">
      <c r="G628" s="32"/>
    </row>
    <row r="629" spans="7:7" ht="12.75" customHeight="1" x14ac:dyDescent="0.2">
      <c r="G629" s="32"/>
    </row>
    <row r="630" spans="7:7" ht="12.75" customHeight="1" x14ac:dyDescent="0.2">
      <c r="G630" s="32"/>
    </row>
    <row r="631" spans="7:7" ht="12.75" customHeight="1" x14ac:dyDescent="0.2">
      <c r="G631" s="32"/>
    </row>
    <row r="632" spans="7:7" ht="12.75" customHeight="1" x14ac:dyDescent="0.2">
      <c r="G632" s="32"/>
    </row>
    <row r="633" spans="7:7" ht="12.75" customHeight="1" x14ac:dyDescent="0.2">
      <c r="G633" s="32"/>
    </row>
    <row r="634" spans="7:7" ht="12.75" customHeight="1" x14ac:dyDescent="0.2">
      <c r="G634" s="32"/>
    </row>
    <row r="635" spans="7:7" ht="12.75" customHeight="1" x14ac:dyDescent="0.2">
      <c r="G635" s="32"/>
    </row>
    <row r="636" spans="7:7" ht="12.75" customHeight="1" x14ac:dyDescent="0.2">
      <c r="G636" s="32"/>
    </row>
    <row r="637" spans="7:7" ht="12.75" customHeight="1" x14ac:dyDescent="0.2">
      <c r="G637" s="32"/>
    </row>
    <row r="638" spans="7:7" ht="12.75" customHeight="1" x14ac:dyDescent="0.2">
      <c r="G638" s="32"/>
    </row>
    <row r="639" spans="7:7" ht="12.75" customHeight="1" x14ac:dyDescent="0.2">
      <c r="G639" s="32"/>
    </row>
    <row r="640" spans="7:7" ht="12.75" customHeight="1" x14ac:dyDescent="0.2">
      <c r="G640" s="32"/>
    </row>
    <row r="641" spans="7:7" ht="12.75" customHeight="1" x14ac:dyDescent="0.2">
      <c r="G641" s="32"/>
    </row>
    <row r="642" spans="7:7" ht="12.75" customHeight="1" x14ac:dyDescent="0.2">
      <c r="G642" s="32"/>
    </row>
    <row r="643" spans="7:7" ht="12.75" customHeight="1" x14ac:dyDescent="0.2">
      <c r="G643" s="32"/>
    </row>
    <row r="644" spans="7:7" ht="12.75" customHeight="1" x14ac:dyDescent="0.2">
      <c r="G644" s="32"/>
    </row>
    <row r="645" spans="7:7" ht="12.75" customHeight="1" x14ac:dyDescent="0.2">
      <c r="G645" s="32"/>
    </row>
    <row r="646" spans="7:7" ht="12.75" customHeight="1" x14ac:dyDescent="0.2">
      <c r="G646" s="32"/>
    </row>
    <row r="647" spans="7:7" ht="12.75" customHeight="1" x14ac:dyDescent="0.2">
      <c r="G647" s="32"/>
    </row>
    <row r="648" spans="7:7" ht="12.75" customHeight="1" x14ac:dyDescent="0.2">
      <c r="G648" s="32"/>
    </row>
    <row r="649" spans="7:7" ht="12.75" customHeight="1" x14ac:dyDescent="0.2">
      <c r="G649" s="32"/>
    </row>
    <row r="650" spans="7:7" ht="12.75" customHeight="1" x14ac:dyDescent="0.2">
      <c r="G650" s="32"/>
    </row>
    <row r="651" spans="7:7" ht="12.75" customHeight="1" x14ac:dyDescent="0.2">
      <c r="G651" s="32"/>
    </row>
    <row r="652" spans="7:7" ht="12.75" customHeight="1" x14ac:dyDescent="0.2">
      <c r="G652" s="32"/>
    </row>
    <row r="653" spans="7:7" ht="12.75" customHeight="1" x14ac:dyDescent="0.2">
      <c r="G653" s="32"/>
    </row>
    <row r="654" spans="7:7" ht="12.75" customHeight="1" x14ac:dyDescent="0.2">
      <c r="G654" s="32"/>
    </row>
    <row r="655" spans="7:7" ht="12.75" customHeight="1" x14ac:dyDescent="0.2">
      <c r="G655" s="32"/>
    </row>
    <row r="656" spans="7:7" ht="12.75" customHeight="1" x14ac:dyDescent="0.2">
      <c r="G656" s="32"/>
    </row>
    <row r="657" spans="7:7" ht="12.75" customHeight="1" x14ac:dyDescent="0.2">
      <c r="G657" s="32"/>
    </row>
    <row r="658" spans="7:7" ht="12.75" customHeight="1" x14ac:dyDescent="0.2">
      <c r="G658" s="32"/>
    </row>
    <row r="659" spans="7:7" ht="12.75" customHeight="1" x14ac:dyDescent="0.2">
      <c r="G659" s="32"/>
    </row>
    <row r="660" spans="7:7" ht="12.75" customHeight="1" x14ac:dyDescent="0.2">
      <c r="G660" s="32"/>
    </row>
    <row r="661" spans="7:7" ht="12.75" customHeight="1" x14ac:dyDescent="0.2">
      <c r="G661" s="32"/>
    </row>
    <row r="662" spans="7:7" ht="12.75" customHeight="1" x14ac:dyDescent="0.2">
      <c r="G662" s="32"/>
    </row>
    <row r="663" spans="7:7" ht="12.75" customHeight="1" x14ac:dyDescent="0.2">
      <c r="G663" s="32"/>
    </row>
    <row r="664" spans="7:7" ht="12.75" customHeight="1" x14ac:dyDescent="0.2">
      <c r="G664" s="32"/>
    </row>
    <row r="665" spans="7:7" ht="12.75" customHeight="1" x14ac:dyDescent="0.2">
      <c r="G665" s="32"/>
    </row>
    <row r="666" spans="7:7" ht="12.75" customHeight="1" x14ac:dyDescent="0.2">
      <c r="G666" s="32"/>
    </row>
    <row r="667" spans="7:7" ht="12.75" customHeight="1" x14ac:dyDescent="0.2">
      <c r="G667" s="32"/>
    </row>
    <row r="668" spans="7:7" ht="12.75" customHeight="1" x14ac:dyDescent="0.2">
      <c r="G668" s="32"/>
    </row>
    <row r="669" spans="7:7" ht="12.75" customHeight="1" x14ac:dyDescent="0.2">
      <c r="G669" s="32"/>
    </row>
    <row r="670" spans="7:7" ht="12.75" customHeight="1" x14ac:dyDescent="0.2">
      <c r="G670" s="32"/>
    </row>
    <row r="671" spans="7:7" ht="12.75" customHeight="1" x14ac:dyDescent="0.2">
      <c r="G671" s="32"/>
    </row>
    <row r="672" spans="7:7" ht="12.75" customHeight="1" x14ac:dyDescent="0.2">
      <c r="G672" s="32"/>
    </row>
    <row r="673" spans="7:7" ht="12.75" customHeight="1" x14ac:dyDescent="0.2">
      <c r="G673" s="32"/>
    </row>
    <row r="674" spans="7:7" ht="12.75" customHeight="1" x14ac:dyDescent="0.2">
      <c r="G674" s="32"/>
    </row>
    <row r="675" spans="7:7" ht="12.75" customHeight="1" x14ac:dyDescent="0.2">
      <c r="G675" s="32"/>
    </row>
    <row r="676" spans="7:7" ht="12.75" customHeight="1" x14ac:dyDescent="0.2">
      <c r="G676" s="32"/>
    </row>
    <row r="677" spans="7:7" ht="12.75" customHeight="1" x14ac:dyDescent="0.2">
      <c r="G677" s="32"/>
    </row>
    <row r="678" spans="7:7" ht="12.75" customHeight="1" x14ac:dyDescent="0.2">
      <c r="G678" s="32"/>
    </row>
    <row r="679" spans="7:7" ht="12.75" customHeight="1" x14ac:dyDescent="0.2">
      <c r="G679" s="32"/>
    </row>
    <row r="680" spans="7:7" ht="12.75" customHeight="1" x14ac:dyDescent="0.2">
      <c r="G680" s="32"/>
    </row>
    <row r="681" spans="7:7" ht="12.75" customHeight="1" x14ac:dyDescent="0.2">
      <c r="G681" s="32"/>
    </row>
    <row r="682" spans="7:7" ht="12.75" customHeight="1" x14ac:dyDescent="0.2">
      <c r="G682" s="32"/>
    </row>
    <row r="683" spans="7:7" ht="12.75" customHeight="1" x14ac:dyDescent="0.2">
      <c r="G683" s="32"/>
    </row>
    <row r="684" spans="7:7" ht="12.75" customHeight="1" x14ac:dyDescent="0.2">
      <c r="G684" s="32"/>
    </row>
    <row r="685" spans="7:7" ht="12.75" customHeight="1" x14ac:dyDescent="0.2">
      <c r="G685" s="32"/>
    </row>
    <row r="686" spans="7:7" ht="12.75" customHeight="1" x14ac:dyDescent="0.2">
      <c r="G686" s="32"/>
    </row>
    <row r="687" spans="7:7" ht="12.75" customHeight="1" x14ac:dyDescent="0.2">
      <c r="G687" s="32"/>
    </row>
    <row r="688" spans="7:7" ht="12.75" customHeight="1" x14ac:dyDescent="0.2">
      <c r="G688" s="32"/>
    </row>
    <row r="689" spans="7:7" ht="12.75" customHeight="1" x14ac:dyDescent="0.2">
      <c r="G689" s="32"/>
    </row>
    <row r="690" spans="7:7" ht="12.75" customHeight="1" x14ac:dyDescent="0.2">
      <c r="G690" s="32"/>
    </row>
    <row r="691" spans="7:7" ht="12.75" customHeight="1" x14ac:dyDescent="0.2">
      <c r="G691" s="32"/>
    </row>
    <row r="692" spans="7:7" ht="12.75" customHeight="1" x14ac:dyDescent="0.2">
      <c r="G692" s="32"/>
    </row>
    <row r="693" spans="7:7" ht="12.75" customHeight="1" x14ac:dyDescent="0.2">
      <c r="G693" s="32"/>
    </row>
    <row r="694" spans="7:7" ht="12.75" customHeight="1" x14ac:dyDescent="0.2">
      <c r="G694" s="32"/>
    </row>
    <row r="695" spans="7:7" ht="12.75" customHeight="1" x14ac:dyDescent="0.2">
      <c r="G695" s="32"/>
    </row>
    <row r="696" spans="7:7" ht="12.75" customHeight="1" x14ac:dyDescent="0.2">
      <c r="G696" s="32"/>
    </row>
    <row r="697" spans="7:7" ht="12.75" customHeight="1" x14ac:dyDescent="0.2">
      <c r="G697" s="32"/>
    </row>
    <row r="698" spans="7:7" ht="12.75" customHeight="1" x14ac:dyDescent="0.2">
      <c r="G698" s="32"/>
    </row>
    <row r="699" spans="7:7" ht="12.75" customHeight="1" x14ac:dyDescent="0.2">
      <c r="G699" s="32"/>
    </row>
    <row r="700" spans="7:7" ht="12.75" customHeight="1" x14ac:dyDescent="0.2">
      <c r="G700" s="32"/>
    </row>
    <row r="701" spans="7:7" ht="12.75" customHeight="1" x14ac:dyDescent="0.2">
      <c r="G701" s="32"/>
    </row>
    <row r="702" spans="7:7" ht="12.75" customHeight="1" x14ac:dyDescent="0.2">
      <c r="G702" s="32"/>
    </row>
    <row r="703" spans="7:7" ht="12.75" customHeight="1" x14ac:dyDescent="0.2">
      <c r="G703" s="32"/>
    </row>
    <row r="704" spans="7:7" ht="12.75" customHeight="1" x14ac:dyDescent="0.2">
      <c r="G704" s="32"/>
    </row>
    <row r="705" spans="7:7" ht="12.75" customHeight="1" x14ac:dyDescent="0.2">
      <c r="G705" s="32"/>
    </row>
    <row r="706" spans="7:7" ht="12.75" customHeight="1" x14ac:dyDescent="0.2">
      <c r="G706" s="32"/>
    </row>
    <row r="707" spans="7:7" ht="12.75" customHeight="1" x14ac:dyDescent="0.2">
      <c r="G707" s="32"/>
    </row>
    <row r="708" spans="7:7" ht="12.75" customHeight="1" x14ac:dyDescent="0.2">
      <c r="G708" s="32"/>
    </row>
    <row r="709" spans="7:7" ht="12.75" customHeight="1" x14ac:dyDescent="0.2">
      <c r="G709" s="32"/>
    </row>
    <row r="710" spans="7:7" ht="12.75" customHeight="1" x14ac:dyDescent="0.2">
      <c r="G710" s="32"/>
    </row>
    <row r="711" spans="7:7" ht="12.75" customHeight="1" x14ac:dyDescent="0.2">
      <c r="G711" s="32"/>
    </row>
    <row r="712" spans="7:7" ht="12.75" customHeight="1" x14ac:dyDescent="0.2">
      <c r="G712" s="32"/>
    </row>
    <row r="713" spans="7:7" ht="12.75" customHeight="1" x14ac:dyDescent="0.2">
      <c r="G713" s="32"/>
    </row>
    <row r="714" spans="7:7" ht="12.75" customHeight="1" x14ac:dyDescent="0.2">
      <c r="G714" s="32"/>
    </row>
    <row r="715" spans="7:7" ht="12.75" customHeight="1" x14ac:dyDescent="0.2">
      <c r="G715" s="32"/>
    </row>
    <row r="716" spans="7:7" ht="12.75" customHeight="1" x14ac:dyDescent="0.2">
      <c r="G716" s="32"/>
    </row>
    <row r="717" spans="7:7" ht="12.75" customHeight="1" x14ac:dyDescent="0.2">
      <c r="G717" s="32"/>
    </row>
    <row r="718" spans="7:7" ht="12.75" customHeight="1" x14ac:dyDescent="0.2">
      <c r="G718" s="32"/>
    </row>
    <row r="719" spans="7:7" ht="12.75" customHeight="1" x14ac:dyDescent="0.2">
      <c r="G719" s="32"/>
    </row>
    <row r="720" spans="7:7" ht="12.75" customHeight="1" x14ac:dyDescent="0.2">
      <c r="G720" s="32"/>
    </row>
    <row r="721" spans="7:7" ht="12.75" customHeight="1" x14ac:dyDescent="0.2">
      <c r="G721" s="32"/>
    </row>
    <row r="722" spans="7:7" ht="12.75" customHeight="1" x14ac:dyDescent="0.2">
      <c r="G722" s="32"/>
    </row>
    <row r="723" spans="7:7" ht="12.75" customHeight="1" x14ac:dyDescent="0.2">
      <c r="G723" s="32"/>
    </row>
    <row r="724" spans="7:7" ht="12.75" customHeight="1" x14ac:dyDescent="0.2">
      <c r="G724" s="32"/>
    </row>
    <row r="725" spans="7:7" ht="12.75" customHeight="1" x14ac:dyDescent="0.2">
      <c r="G725" s="32"/>
    </row>
    <row r="726" spans="7:7" ht="12.75" customHeight="1" x14ac:dyDescent="0.2">
      <c r="G726" s="32"/>
    </row>
    <row r="727" spans="7:7" ht="12.75" customHeight="1" x14ac:dyDescent="0.2">
      <c r="G727" s="32"/>
    </row>
    <row r="728" spans="7:7" ht="12.75" customHeight="1" x14ac:dyDescent="0.2">
      <c r="G728" s="32"/>
    </row>
    <row r="729" spans="7:7" ht="12.75" customHeight="1" x14ac:dyDescent="0.2">
      <c r="G729" s="32"/>
    </row>
    <row r="730" spans="7:7" ht="12.75" customHeight="1" x14ac:dyDescent="0.2">
      <c r="G730" s="32"/>
    </row>
    <row r="731" spans="7:7" ht="12.75" customHeight="1" x14ac:dyDescent="0.2">
      <c r="G731" s="32"/>
    </row>
    <row r="732" spans="7:7" ht="12.75" customHeight="1" x14ac:dyDescent="0.2">
      <c r="G732" s="32"/>
    </row>
    <row r="733" spans="7:7" ht="12.75" customHeight="1" x14ac:dyDescent="0.2">
      <c r="G733" s="32"/>
    </row>
    <row r="734" spans="7:7" ht="12.75" customHeight="1" x14ac:dyDescent="0.2">
      <c r="G734" s="32"/>
    </row>
    <row r="735" spans="7:7" ht="12.75" customHeight="1" x14ac:dyDescent="0.2">
      <c r="G735" s="32"/>
    </row>
    <row r="736" spans="7:7" ht="12.75" customHeight="1" x14ac:dyDescent="0.2">
      <c r="G736" s="32"/>
    </row>
    <row r="737" spans="7:7" ht="12.75" customHeight="1" x14ac:dyDescent="0.2">
      <c r="G737" s="32"/>
    </row>
    <row r="738" spans="7:7" ht="12.75" customHeight="1" x14ac:dyDescent="0.2">
      <c r="G738" s="32"/>
    </row>
    <row r="739" spans="7:7" ht="12.75" customHeight="1" x14ac:dyDescent="0.2">
      <c r="G739" s="32"/>
    </row>
    <row r="740" spans="7:7" ht="12.75" customHeight="1" x14ac:dyDescent="0.2">
      <c r="G740" s="32"/>
    </row>
    <row r="741" spans="7:7" ht="12.75" customHeight="1" x14ac:dyDescent="0.2">
      <c r="G741" s="32"/>
    </row>
    <row r="742" spans="7:7" ht="12.75" customHeight="1" x14ac:dyDescent="0.2">
      <c r="G742" s="32"/>
    </row>
    <row r="743" spans="7:7" ht="12.75" customHeight="1" x14ac:dyDescent="0.2">
      <c r="G743" s="32"/>
    </row>
    <row r="744" spans="7:7" ht="12.75" customHeight="1" x14ac:dyDescent="0.2">
      <c r="G744" s="32"/>
    </row>
    <row r="745" spans="7:7" ht="12.75" customHeight="1" x14ac:dyDescent="0.2">
      <c r="G745" s="32"/>
    </row>
    <row r="746" spans="7:7" ht="12.75" customHeight="1" x14ac:dyDescent="0.2">
      <c r="G746" s="32"/>
    </row>
    <row r="747" spans="7:7" ht="12.75" customHeight="1" x14ac:dyDescent="0.2">
      <c r="G747" s="32"/>
    </row>
    <row r="748" spans="7:7" ht="12.75" customHeight="1" x14ac:dyDescent="0.2">
      <c r="G748" s="32"/>
    </row>
    <row r="749" spans="7:7" ht="12.75" customHeight="1" x14ac:dyDescent="0.2">
      <c r="G749" s="32"/>
    </row>
    <row r="750" spans="7:7" ht="12.75" customHeight="1" x14ac:dyDescent="0.2">
      <c r="G750" s="32"/>
    </row>
    <row r="751" spans="7:7" ht="12.75" customHeight="1" x14ac:dyDescent="0.2">
      <c r="G751" s="32"/>
    </row>
    <row r="752" spans="7:7" ht="12.75" customHeight="1" x14ac:dyDescent="0.2">
      <c r="G752" s="32"/>
    </row>
    <row r="753" spans="7:7" ht="12.75" customHeight="1" x14ac:dyDescent="0.2">
      <c r="G753" s="32"/>
    </row>
    <row r="754" spans="7:7" ht="12.75" customHeight="1" x14ac:dyDescent="0.2">
      <c r="G754" s="32"/>
    </row>
    <row r="755" spans="7:7" ht="12.75" customHeight="1" x14ac:dyDescent="0.2">
      <c r="G755" s="32"/>
    </row>
    <row r="756" spans="7:7" ht="12.75" customHeight="1" x14ac:dyDescent="0.2">
      <c r="G756" s="32"/>
    </row>
    <row r="757" spans="7:7" ht="12.75" customHeight="1" x14ac:dyDescent="0.2">
      <c r="G757" s="32"/>
    </row>
    <row r="758" spans="7:7" ht="12.75" customHeight="1" x14ac:dyDescent="0.2">
      <c r="G758" s="32"/>
    </row>
    <row r="759" spans="7:7" ht="12.75" customHeight="1" x14ac:dyDescent="0.2">
      <c r="G759" s="32"/>
    </row>
    <row r="760" spans="7:7" ht="12.75" customHeight="1" x14ac:dyDescent="0.2">
      <c r="G760" s="32"/>
    </row>
    <row r="761" spans="7:7" ht="12.75" customHeight="1" x14ac:dyDescent="0.2">
      <c r="G761" s="32"/>
    </row>
    <row r="762" spans="7:7" ht="12.75" customHeight="1" x14ac:dyDescent="0.2">
      <c r="G762" s="32"/>
    </row>
    <row r="763" spans="7:7" ht="12.75" customHeight="1" x14ac:dyDescent="0.2">
      <c r="G763" s="32"/>
    </row>
    <row r="764" spans="7:7" ht="12.75" customHeight="1" x14ac:dyDescent="0.2">
      <c r="G764" s="32"/>
    </row>
    <row r="765" spans="7:7" ht="12.75" customHeight="1" x14ac:dyDescent="0.2">
      <c r="G765" s="32"/>
    </row>
    <row r="766" spans="7:7" ht="12.75" customHeight="1" x14ac:dyDescent="0.2">
      <c r="G766" s="32"/>
    </row>
    <row r="767" spans="7:7" ht="12.75" customHeight="1" x14ac:dyDescent="0.2">
      <c r="G767" s="32"/>
    </row>
    <row r="768" spans="7:7" ht="12.75" customHeight="1" x14ac:dyDescent="0.2">
      <c r="G768" s="32"/>
    </row>
    <row r="769" spans="7:7" ht="12.75" customHeight="1" x14ac:dyDescent="0.2">
      <c r="G769" s="32"/>
    </row>
    <row r="770" spans="7:7" ht="12.75" customHeight="1" x14ac:dyDescent="0.2">
      <c r="G770" s="32"/>
    </row>
    <row r="771" spans="7:7" ht="12.75" customHeight="1" x14ac:dyDescent="0.2">
      <c r="G771" s="32"/>
    </row>
    <row r="772" spans="7:7" ht="12.75" customHeight="1" x14ac:dyDescent="0.2">
      <c r="G772" s="32"/>
    </row>
    <row r="773" spans="7:7" ht="12.75" customHeight="1" x14ac:dyDescent="0.2">
      <c r="G773" s="32"/>
    </row>
    <row r="774" spans="7:7" ht="12.75" customHeight="1" x14ac:dyDescent="0.2">
      <c r="G774" s="32"/>
    </row>
    <row r="775" spans="7:7" ht="12.75" customHeight="1" x14ac:dyDescent="0.2">
      <c r="G775" s="32"/>
    </row>
    <row r="776" spans="7:7" ht="12.75" customHeight="1" x14ac:dyDescent="0.2">
      <c r="G776" s="32"/>
    </row>
    <row r="777" spans="7:7" ht="12.75" customHeight="1" x14ac:dyDescent="0.2">
      <c r="G777" s="32"/>
    </row>
    <row r="778" spans="7:7" ht="12.75" customHeight="1" x14ac:dyDescent="0.2">
      <c r="G778" s="32"/>
    </row>
    <row r="779" spans="7:7" ht="12.75" customHeight="1" x14ac:dyDescent="0.2">
      <c r="G779" s="32"/>
    </row>
    <row r="780" spans="7:7" ht="12.75" customHeight="1" x14ac:dyDescent="0.2">
      <c r="G780" s="32"/>
    </row>
    <row r="781" spans="7:7" ht="12.75" customHeight="1" x14ac:dyDescent="0.2">
      <c r="G781" s="32"/>
    </row>
    <row r="782" spans="7:7" ht="12.75" customHeight="1" x14ac:dyDescent="0.2">
      <c r="G782" s="32"/>
    </row>
    <row r="783" spans="7:7" ht="12.75" customHeight="1" x14ac:dyDescent="0.2">
      <c r="G783" s="32"/>
    </row>
    <row r="784" spans="7:7" ht="12.75" customHeight="1" x14ac:dyDescent="0.2">
      <c r="G784" s="32"/>
    </row>
    <row r="785" spans="7:7" ht="12.75" customHeight="1" x14ac:dyDescent="0.2">
      <c r="G785" s="32"/>
    </row>
    <row r="786" spans="7:7" ht="12.75" customHeight="1" x14ac:dyDescent="0.2">
      <c r="G786" s="32"/>
    </row>
    <row r="787" spans="7:7" ht="12.75" customHeight="1" x14ac:dyDescent="0.2">
      <c r="G787" s="32"/>
    </row>
    <row r="788" spans="7:7" ht="12.75" customHeight="1" x14ac:dyDescent="0.2">
      <c r="G788" s="32"/>
    </row>
    <row r="789" spans="7:7" ht="12.75" customHeight="1" x14ac:dyDescent="0.2">
      <c r="G789" s="32"/>
    </row>
    <row r="790" spans="7:7" ht="12.75" customHeight="1" x14ac:dyDescent="0.2">
      <c r="G790" s="32"/>
    </row>
    <row r="791" spans="7:7" ht="12.75" customHeight="1" x14ac:dyDescent="0.2">
      <c r="G791" s="32"/>
    </row>
    <row r="792" spans="7:7" ht="12.75" customHeight="1" x14ac:dyDescent="0.2">
      <c r="G792" s="32"/>
    </row>
    <row r="793" spans="7:7" ht="12.75" customHeight="1" x14ac:dyDescent="0.2">
      <c r="G793" s="32"/>
    </row>
    <row r="794" spans="7:7" ht="12.75" customHeight="1" x14ac:dyDescent="0.2">
      <c r="G794" s="32"/>
    </row>
    <row r="795" spans="7:7" ht="12.75" customHeight="1" x14ac:dyDescent="0.2">
      <c r="G795" s="32"/>
    </row>
    <row r="796" spans="7:7" ht="12.75" customHeight="1" x14ac:dyDescent="0.2">
      <c r="G796" s="32"/>
    </row>
    <row r="797" spans="7:7" ht="12.75" customHeight="1" x14ac:dyDescent="0.2">
      <c r="G797" s="32"/>
    </row>
    <row r="798" spans="7:7" ht="12.75" customHeight="1" x14ac:dyDescent="0.2">
      <c r="G798" s="32"/>
    </row>
    <row r="799" spans="7:7" ht="12.75" customHeight="1" x14ac:dyDescent="0.2">
      <c r="G799" s="32"/>
    </row>
    <row r="800" spans="7:7" ht="12.75" customHeight="1" x14ac:dyDescent="0.2">
      <c r="G800" s="32"/>
    </row>
    <row r="801" spans="7:7" ht="12.75" customHeight="1" x14ac:dyDescent="0.2">
      <c r="G801" s="32"/>
    </row>
    <row r="802" spans="7:7" ht="12.75" customHeight="1" x14ac:dyDescent="0.2">
      <c r="G802" s="32"/>
    </row>
    <row r="803" spans="7:7" ht="12.75" customHeight="1" x14ac:dyDescent="0.2">
      <c r="G803" s="32"/>
    </row>
    <row r="804" spans="7:7" ht="12.75" customHeight="1" x14ac:dyDescent="0.2">
      <c r="G804" s="32"/>
    </row>
    <row r="805" spans="7:7" ht="12.75" customHeight="1" x14ac:dyDescent="0.2">
      <c r="G805" s="32"/>
    </row>
    <row r="806" spans="7:7" ht="12.75" customHeight="1" x14ac:dyDescent="0.2">
      <c r="G806" s="32"/>
    </row>
    <row r="807" spans="7:7" ht="12.75" customHeight="1" x14ac:dyDescent="0.2">
      <c r="G807" s="32"/>
    </row>
    <row r="808" spans="7:7" ht="12.75" customHeight="1" x14ac:dyDescent="0.2">
      <c r="G808" s="32"/>
    </row>
    <row r="809" spans="7:7" ht="12.75" customHeight="1" x14ac:dyDescent="0.2">
      <c r="G809" s="32"/>
    </row>
    <row r="810" spans="7:7" ht="12.75" customHeight="1" x14ac:dyDescent="0.2">
      <c r="G810" s="32"/>
    </row>
    <row r="811" spans="7:7" ht="12.75" customHeight="1" x14ac:dyDescent="0.2">
      <c r="G811" s="32"/>
    </row>
    <row r="812" spans="7:7" ht="12.75" customHeight="1" x14ac:dyDescent="0.2">
      <c r="G812" s="32"/>
    </row>
    <row r="813" spans="7:7" ht="12.75" customHeight="1" x14ac:dyDescent="0.2">
      <c r="G813" s="32"/>
    </row>
    <row r="814" spans="7:7" ht="12.75" customHeight="1" x14ac:dyDescent="0.2">
      <c r="G814" s="32"/>
    </row>
    <row r="815" spans="7:7" ht="12.75" customHeight="1" x14ac:dyDescent="0.2">
      <c r="G815" s="32"/>
    </row>
    <row r="816" spans="7:7" ht="12.75" customHeight="1" x14ac:dyDescent="0.2">
      <c r="G816" s="32"/>
    </row>
    <row r="817" spans="7:7" ht="12.75" customHeight="1" x14ac:dyDescent="0.2">
      <c r="G817" s="32"/>
    </row>
    <row r="818" spans="7:7" ht="12.75" customHeight="1" x14ac:dyDescent="0.2">
      <c r="G818" s="32"/>
    </row>
    <row r="819" spans="7:7" ht="12.75" customHeight="1" x14ac:dyDescent="0.2">
      <c r="G819" s="32"/>
    </row>
    <row r="820" spans="7:7" ht="12.75" customHeight="1" x14ac:dyDescent="0.2">
      <c r="G820" s="32"/>
    </row>
    <row r="821" spans="7:7" ht="12.75" customHeight="1" x14ac:dyDescent="0.2">
      <c r="G821" s="32"/>
    </row>
    <row r="822" spans="7:7" ht="12.75" customHeight="1" x14ac:dyDescent="0.2">
      <c r="G822" s="32"/>
    </row>
    <row r="823" spans="7:7" ht="12.75" customHeight="1" x14ac:dyDescent="0.2">
      <c r="G823" s="32"/>
    </row>
    <row r="824" spans="7:7" ht="12.75" customHeight="1" x14ac:dyDescent="0.2">
      <c r="G824" s="32"/>
    </row>
    <row r="825" spans="7:7" ht="12.75" customHeight="1" x14ac:dyDescent="0.2">
      <c r="G825" s="32"/>
    </row>
    <row r="826" spans="7:7" ht="12.75" customHeight="1" x14ac:dyDescent="0.2">
      <c r="G826" s="32"/>
    </row>
    <row r="827" spans="7:7" ht="12.75" customHeight="1" x14ac:dyDescent="0.2">
      <c r="G827" s="32"/>
    </row>
    <row r="828" spans="7:7" ht="12.75" customHeight="1" x14ac:dyDescent="0.2">
      <c r="G828" s="32"/>
    </row>
    <row r="829" spans="7:7" ht="12.75" customHeight="1" x14ac:dyDescent="0.2">
      <c r="G829" s="32"/>
    </row>
    <row r="830" spans="7:7" ht="12.75" customHeight="1" x14ac:dyDescent="0.2">
      <c r="G830" s="32"/>
    </row>
    <row r="831" spans="7:7" ht="12.75" customHeight="1" x14ac:dyDescent="0.2">
      <c r="G831" s="32"/>
    </row>
    <row r="832" spans="7:7" ht="12.75" customHeight="1" x14ac:dyDescent="0.2">
      <c r="G832" s="32"/>
    </row>
    <row r="833" spans="7:7" ht="12.75" customHeight="1" x14ac:dyDescent="0.2">
      <c r="G833" s="32"/>
    </row>
    <row r="834" spans="7:7" ht="12.75" customHeight="1" x14ac:dyDescent="0.2">
      <c r="G834" s="32"/>
    </row>
    <row r="835" spans="7:7" ht="12.75" customHeight="1" x14ac:dyDescent="0.2">
      <c r="G835" s="32"/>
    </row>
    <row r="836" spans="7:7" ht="12.75" customHeight="1" x14ac:dyDescent="0.2">
      <c r="G836" s="32"/>
    </row>
    <row r="837" spans="7:7" ht="12.75" customHeight="1" x14ac:dyDescent="0.2">
      <c r="G837" s="32"/>
    </row>
    <row r="838" spans="7:7" ht="12.75" customHeight="1" x14ac:dyDescent="0.2">
      <c r="G838" s="32"/>
    </row>
    <row r="839" spans="7:7" ht="12.75" customHeight="1" x14ac:dyDescent="0.2">
      <c r="G839" s="32"/>
    </row>
    <row r="840" spans="7:7" ht="12.75" customHeight="1" x14ac:dyDescent="0.2">
      <c r="G840" s="32"/>
    </row>
    <row r="841" spans="7:7" ht="12.75" customHeight="1" x14ac:dyDescent="0.2">
      <c r="G841" s="32"/>
    </row>
    <row r="842" spans="7:7" ht="12.75" customHeight="1" x14ac:dyDescent="0.2">
      <c r="G842" s="32"/>
    </row>
    <row r="843" spans="7:7" ht="12.75" customHeight="1" x14ac:dyDescent="0.2">
      <c r="G843" s="32"/>
    </row>
    <row r="844" spans="7:7" ht="12.75" customHeight="1" x14ac:dyDescent="0.2">
      <c r="G844" s="32"/>
    </row>
    <row r="845" spans="7:7" ht="12.75" customHeight="1" x14ac:dyDescent="0.2">
      <c r="G845" s="32"/>
    </row>
    <row r="846" spans="7:7" ht="12.75" customHeight="1" x14ac:dyDescent="0.2">
      <c r="G846" s="32"/>
    </row>
    <row r="847" spans="7:7" ht="12.75" customHeight="1" x14ac:dyDescent="0.2">
      <c r="G847" s="32"/>
    </row>
    <row r="848" spans="7:7" ht="12.75" customHeight="1" x14ac:dyDescent="0.2">
      <c r="G848" s="32"/>
    </row>
    <row r="849" spans="7:7" ht="12.75" customHeight="1" x14ac:dyDescent="0.2">
      <c r="G849" s="32"/>
    </row>
    <row r="850" spans="7:7" ht="12.75" customHeight="1" x14ac:dyDescent="0.2">
      <c r="G850" s="32"/>
    </row>
    <row r="851" spans="7:7" ht="12.75" customHeight="1" x14ac:dyDescent="0.2">
      <c r="G851" s="32"/>
    </row>
    <row r="852" spans="7:7" ht="12.75" customHeight="1" x14ac:dyDescent="0.2">
      <c r="G852" s="32"/>
    </row>
    <row r="853" spans="7:7" ht="12.75" customHeight="1" x14ac:dyDescent="0.2">
      <c r="G853" s="32"/>
    </row>
    <row r="854" spans="7:7" ht="12.75" customHeight="1" x14ac:dyDescent="0.2">
      <c r="G854" s="32"/>
    </row>
    <row r="855" spans="7:7" ht="12.75" customHeight="1" x14ac:dyDescent="0.2">
      <c r="G855" s="32"/>
    </row>
    <row r="856" spans="7:7" ht="12.75" customHeight="1" x14ac:dyDescent="0.2">
      <c r="G856" s="32"/>
    </row>
    <row r="857" spans="7:7" ht="12.75" customHeight="1" x14ac:dyDescent="0.2">
      <c r="G857" s="32"/>
    </row>
    <row r="858" spans="7:7" ht="12.75" customHeight="1" x14ac:dyDescent="0.2">
      <c r="G858" s="32"/>
    </row>
    <row r="859" spans="7:7" ht="12.75" customHeight="1" x14ac:dyDescent="0.2">
      <c r="G859" s="32"/>
    </row>
    <row r="860" spans="7:7" ht="12.75" customHeight="1" x14ac:dyDescent="0.2">
      <c r="G860" s="32"/>
    </row>
    <row r="861" spans="7:7" ht="12.75" customHeight="1" x14ac:dyDescent="0.2">
      <c r="G861" s="32"/>
    </row>
    <row r="862" spans="7:7" ht="12.75" customHeight="1" x14ac:dyDescent="0.2">
      <c r="G862" s="32"/>
    </row>
    <row r="863" spans="7:7" ht="12.75" customHeight="1" x14ac:dyDescent="0.2">
      <c r="G863" s="32"/>
    </row>
    <row r="864" spans="7:7" ht="12.75" customHeight="1" x14ac:dyDescent="0.2">
      <c r="G864" s="32"/>
    </row>
    <row r="865" spans="7:7" ht="12.75" customHeight="1" x14ac:dyDescent="0.2">
      <c r="G865" s="32"/>
    </row>
    <row r="866" spans="7:7" ht="12.75" customHeight="1" x14ac:dyDescent="0.2">
      <c r="G866" s="32"/>
    </row>
    <row r="867" spans="7:7" ht="12.75" customHeight="1" x14ac:dyDescent="0.2">
      <c r="G867" s="32"/>
    </row>
    <row r="868" spans="7:7" ht="12.75" customHeight="1" x14ac:dyDescent="0.2">
      <c r="G868" s="32"/>
    </row>
    <row r="869" spans="7:7" ht="12.75" customHeight="1" x14ac:dyDescent="0.2">
      <c r="G869" s="32"/>
    </row>
    <row r="870" spans="7:7" ht="12.75" customHeight="1" x14ac:dyDescent="0.2">
      <c r="G870" s="32"/>
    </row>
    <row r="871" spans="7:7" ht="12.75" customHeight="1" x14ac:dyDescent="0.2">
      <c r="G871" s="32"/>
    </row>
    <row r="872" spans="7:7" ht="12.75" customHeight="1" x14ac:dyDescent="0.2">
      <c r="G872" s="32"/>
    </row>
    <row r="873" spans="7:7" ht="12.75" customHeight="1" x14ac:dyDescent="0.2">
      <c r="G873" s="32"/>
    </row>
    <row r="874" spans="7:7" ht="12.75" customHeight="1" x14ac:dyDescent="0.2">
      <c r="G874" s="32"/>
    </row>
    <row r="875" spans="7:7" ht="12.75" customHeight="1" x14ac:dyDescent="0.2">
      <c r="G875" s="32"/>
    </row>
    <row r="876" spans="7:7" ht="12.75" customHeight="1" x14ac:dyDescent="0.2">
      <c r="G876" s="32"/>
    </row>
    <row r="877" spans="7:7" ht="12.75" customHeight="1" x14ac:dyDescent="0.2">
      <c r="G877" s="32"/>
    </row>
    <row r="878" spans="7:7" ht="12.75" customHeight="1" x14ac:dyDescent="0.2">
      <c r="G878" s="32"/>
    </row>
    <row r="879" spans="7:7" ht="12.75" customHeight="1" x14ac:dyDescent="0.2">
      <c r="G879" s="32"/>
    </row>
    <row r="880" spans="7:7" ht="12.75" customHeight="1" x14ac:dyDescent="0.2">
      <c r="G880" s="32"/>
    </row>
    <row r="881" spans="7:7" ht="12.75" customHeight="1" x14ac:dyDescent="0.2">
      <c r="G881" s="32"/>
    </row>
    <row r="882" spans="7:7" ht="12.75" customHeight="1" x14ac:dyDescent="0.2">
      <c r="G882" s="32"/>
    </row>
    <row r="883" spans="7:7" ht="12.75" customHeight="1" x14ac:dyDescent="0.2">
      <c r="G883" s="32"/>
    </row>
    <row r="884" spans="7:7" ht="12.75" customHeight="1" x14ac:dyDescent="0.2">
      <c r="G884" s="32"/>
    </row>
    <row r="885" spans="7:7" ht="12.75" customHeight="1" x14ac:dyDescent="0.2">
      <c r="G885" s="32"/>
    </row>
    <row r="886" spans="7:7" ht="12.75" customHeight="1" x14ac:dyDescent="0.2">
      <c r="G886" s="32"/>
    </row>
    <row r="887" spans="7:7" ht="12.75" customHeight="1" x14ac:dyDescent="0.2">
      <c r="G887" s="32"/>
    </row>
    <row r="888" spans="7:7" ht="12.75" customHeight="1" x14ac:dyDescent="0.2">
      <c r="G888" s="32"/>
    </row>
    <row r="889" spans="7:7" ht="12.75" customHeight="1" x14ac:dyDescent="0.2">
      <c r="G889" s="32"/>
    </row>
    <row r="890" spans="7:7" ht="12.75" customHeight="1" x14ac:dyDescent="0.2">
      <c r="G890" s="32"/>
    </row>
    <row r="891" spans="7:7" ht="12.75" customHeight="1" x14ac:dyDescent="0.2">
      <c r="G891" s="32"/>
    </row>
    <row r="892" spans="7:7" ht="12.75" customHeight="1" x14ac:dyDescent="0.2">
      <c r="G892" s="32"/>
    </row>
    <row r="893" spans="7:7" ht="12.75" customHeight="1" x14ac:dyDescent="0.2">
      <c r="G893" s="32"/>
    </row>
    <row r="894" spans="7:7" ht="12.75" customHeight="1" x14ac:dyDescent="0.2">
      <c r="G894" s="32"/>
    </row>
    <row r="895" spans="7:7" ht="12.75" customHeight="1" x14ac:dyDescent="0.2">
      <c r="G895" s="32"/>
    </row>
    <row r="896" spans="7:7" ht="12.75" customHeight="1" x14ac:dyDescent="0.2">
      <c r="G896" s="32"/>
    </row>
    <row r="897" spans="7:7" ht="12.75" customHeight="1" x14ac:dyDescent="0.2">
      <c r="G897" s="32"/>
    </row>
    <row r="898" spans="7:7" ht="12.75" customHeight="1" x14ac:dyDescent="0.2">
      <c r="G898" s="32"/>
    </row>
    <row r="899" spans="7:7" ht="12.75" customHeight="1" x14ac:dyDescent="0.2">
      <c r="G899" s="32"/>
    </row>
    <row r="900" spans="7:7" ht="12.75" customHeight="1" x14ac:dyDescent="0.2">
      <c r="G900" s="32"/>
    </row>
    <row r="901" spans="7:7" ht="12.75" customHeight="1" x14ac:dyDescent="0.2">
      <c r="G901" s="32"/>
    </row>
    <row r="902" spans="7:7" ht="12.75" customHeight="1" x14ac:dyDescent="0.2">
      <c r="G902" s="32"/>
    </row>
    <row r="903" spans="7:7" ht="12.75" customHeight="1" x14ac:dyDescent="0.2">
      <c r="G903" s="32"/>
    </row>
    <row r="904" spans="7:7" ht="12.75" customHeight="1" x14ac:dyDescent="0.2">
      <c r="G904" s="32"/>
    </row>
    <row r="905" spans="7:7" ht="12.75" customHeight="1" x14ac:dyDescent="0.2">
      <c r="G905" s="32"/>
    </row>
    <row r="906" spans="7:7" ht="12.75" customHeight="1" x14ac:dyDescent="0.2">
      <c r="G906" s="32"/>
    </row>
    <row r="907" spans="7:7" ht="12.75" customHeight="1" x14ac:dyDescent="0.2">
      <c r="G907" s="32"/>
    </row>
    <row r="908" spans="7:7" ht="12.75" customHeight="1" x14ac:dyDescent="0.2">
      <c r="G908" s="32"/>
    </row>
    <row r="909" spans="7:7" ht="12.75" customHeight="1" x14ac:dyDescent="0.2">
      <c r="G909" s="32"/>
    </row>
    <row r="910" spans="7:7" ht="12.75" customHeight="1" x14ac:dyDescent="0.2">
      <c r="G910" s="32"/>
    </row>
    <row r="911" spans="7:7" ht="12.75" customHeight="1" x14ac:dyDescent="0.2">
      <c r="G911" s="32"/>
    </row>
    <row r="912" spans="7:7" ht="12.75" customHeight="1" x14ac:dyDescent="0.2">
      <c r="G912" s="32"/>
    </row>
    <row r="913" spans="7:7" ht="12.75" customHeight="1" x14ac:dyDescent="0.2">
      <c r="G913" s="32"/>
    </row>
    <row r="914" spans="7:7" ht="12.75" customHeight="1" x14ac:dyDescent="0.2">
      <c r="G914" s="32"/>
    </row>
    <row r="915" spans="7:7" ht="12.75" customHeight="1" x14ac:dyDescent="0.2">
      <c r="G915" s="32"/>
    </row>
    <row r="916" spans="7:7" ht="12.75" customHeight="1" x14ac:dyDescent="0.2">
      <c r="G916" s="32"/>
    </row>
    <row r="917" spans="7:7" ht="12.75" customHeight="1" x14ac:dyDescent="0.2">
      <c r="G917" s="32"/>
    </row>
    <row r="918" spans="7:7" ht="12.75" customHeight="1" x14ac:dyDescent="0.2">
      <c r="G918" s="32"/>
    </row>
    <row r="919" spans="7:7" ht="12.75" customHeight="1" x14ac:dyDescent="0.2">
      <c r="G919" s="32"/>
    </row>
    <row r="920" spans="7:7" ht="12.75" customHeight="1" x14ac:dyDescent="0.2">
      <c r="G920" s="32"/>
    </row>
    <row r="921" spans="7:7" ht="12.75" customHeight="1" x14ac:dyDescent="0.2">
      <c r="G921" s="32"/>
    </row>
    <row r="922" spans="7:7" ht="12.75" customHeight="1" x14ac:dyDescent="0.2">
      <c r="G922" s="32"/>
    </row>
    <row r="923" spans="7:7" ht="12.75" customHeight="1" x14ac:dyDescent="0.2">
      <c r="G923" s="32"/>
    </row>
    <row r="924" spans="7:7" ht="12.75" customHeight="1" x14ac:dyDescent="0.2">
      <c r="G924" s="32"/>
    </row>
    <row r="925" spans="7:7" ht="12.75" customHeight="1" x14ac:dyDescent="0.2">
      <c r="G925" s="32"/>
    </row>
    <row r="926" spans="7:7" ht="12.75" customHeight="1" x14ac:dyDescent="0.2">
      <c r="G926" s="32"/>
    </row>
    <row r="927" spans="7:7" ht="12.75" customHeight="1" x14ac:dyDescent="0.2">
      <c r="G927" s="32"/>
    </row>
    <row r="928" spans="7:7" ht="12.75" customHeight="1" x14ac:dyDescent="0.2">
      <c r="G928" s="32"/>
    </row>
    <row r="929" spans="7:7" ht="12.75" customHeight="1" x14ac:dyDescent="0.2">
      <c r="G929" s="32"/>
    </row>
    <row r="930" spans="7:7" ht="12.75" customHeight="1" x14ac:dyDescent="0.2">
      <c r="G930" s="32"/>
    </row>
    <row r="931" spans="7:7" ht="12.75" customHeight="1" x14ac:dyDescent="0.2">
      <c r="G931" s="32"/>
    </row>
    <row r="932" spans="7:7" ht="12.75" customHeight="1" x14ac:dyDescent="0.2">
      <c r="G932" s="32"/>
    </row>
    <row r="933" spans="7:7" ht="12.75" customHeight="1" x14ac:dyDescent="0.2">
      <c r="G933" s="32"/>
    </row>
    <row r="934" spans="7:7" ht="12.75" customHeight="1" x14ac:dyDescent="0.2">
      <c r="G934" s="32"/>
    </row>
    <row r="935" spans="7:7" ht="12.75" customHeight="1" x14ac:dyDescent="0.2">
      <c r="G935" s="32"/>
    </row>
    <row r="936" spans="7:7" ht="12.75" customHeight="1" x14ac:dyDescent="0.2">
      <c r="G936" s="32"/>
    </row>
    <row r="937" spans="7:7" ht="12.75" customHeight="1" x14ac:dyDescent="0.2">
      <c r="G937" s="32"/>
    </row>
    <row r="938" spans="7:7" ht="12.75" customHeight="1" x14ac:dyDescent="0.2">
      <c r="G938" s="32"/>
    </row>
    <row r="939" spans="7:7" ht="12.75" customHeight="1" x14ac:dyDescent="0.2">
      <c r="G939" s="32"/>
    </row>
    <row r="940" spans="7:7" ht="12.75" customHeight="1" x14ac:dyDescent="0.2">
      <c r="G940" s="32"/>
    </row>
    <row r="941" spans="7:7" ht="12.75" customHeight="1" x14ac:dyDescent="0.2">
      <c r="G941" s="32"/>
    </row>
    <row r="942" spans="7:7" ht="12.75" customHeight="1" x14ac:dyDescent="0.2">
      <c r="G942" s="32"/>
    </row>
    <row r="943" spans="7:7" ht="12.75" customHeight="1" x14ac:dyDescent="0.2">
      <c r="G943" s="32"/>
    </row>
    <row r="944" spans="7:7" ht="12.75" customHeight="1" x14ac:dyDescent="0.2">
      <c r="G944" s="32"/>
    </row>
    <row r="945" spans="7:7" ht="12.75" customHeight="1" x14ac:dyDescent="0.2">
      <c r="G945" s="32"/>
    </row>
    <row r="946" spans="7:7" ht="12.75" customHeight="1" x14ac:dyDescent="0.2">
      <c r="G946" s="32"/>
    </row>
    <row r="947" spans="7:7" ht="12.75" customHeight="1" x14ac:dyDescent="0.2">
      <c r="G947" s="32"/>
    </row>
    <row r="948" spans="7:7" ht="12.75" customHeight="1" x14ac:dyDescent="0.2">
      <c r="G948" s="32"/>
    </row>
    <row r="949" spans="7:7" ht="12.75" customHeight="1" x14ac:dyDescent="0.2">
      <c r="G949" s="32"/>
    </row>
    <row r="950" spans="7:7" ht="12.75" customHeight="1" x14ac:dyDescent="0.2">
      <c r="G950" s="32"/>
    </row>
    <row r="951" spans="7:7" ht="12.75" customHeight="1" x14ac:dyDescent="0.2">
      <c r="G951" s="32"/>
    </row>
    <row r="952" spans="7:7" ht="12.75" customHeight="1" x14ac:dyDescent="0.2">
      <c r="G952" s="32"/>
    </row>
    <row r="953" spans="7:7" ht="12.75" customHeight="1" x14ac:dyDescent="0.2">
      <c r="G953" s="32"/>
    </row>
    <row r="954" spans="7:7" ht="12.75" customHeight="1" x14ac:dyDescent="0.2">
      <c r="G954" s="32"/>
    </row>
    <row r="955" spans="7:7" ht="12.75" customHeight="1" x14ac:dyDescent="0.2">
      <c r="G955" s="32"/>
    </row>
    <row r="956" spans="7:7" ht="12.75" customHeight="1" x14ac:dyDescent="0.2">
      <c r="G956" s="32"/>
    </row>
    <row r="957" spans="7:7" ht="12.75" customHeight="1" x14ac:dyDescent="0.2">
      <c r="G957" s="32"/>
    </row>
    <row r="958" spans="7:7" ht="12.75" customHeight="1" x14ac:dyDescent="0.2">
      <c r="G958" s="32"/>
    </row>
    <row r="959" spans="7:7" ht="12.75" customHeight="1" x14ac:dyDescent="0.2">
      <c r="G959" s="32"/>
    </row>
    <row r="960" spans="7:7" ht="12.75" customHeight="1" x14ac:dyDescent="0.2">
      <c r="G960" s="32"/>
    </row>
    <row r="961" spans="7:7" ht="12.75" customHeight="1" x14ac:dyDescent="0.2">
      <c r="G961" s="32"/>
    </row>
    <row r="962" spans="7:7" ht="12.75" customHeight="1" x14ac:dyDescent="0.2">
      <c r="G962" s="32"/>
    </row>
    <row r="963" spans="7:7" ht="12.75" customHeight="1" x14ac:dyDescent="0.2">
      <c r="G963" s="32"/>
    </row>
    <row r="964" spans="7:7" ht="12.75" customHeight="1" x14ac:dyDescent="0.2">
      <c r="G964" s="32"/>
    </row>
    <row r="965" spans="7:7" ht="12.75" customHeight="1" x14ac:dyDescent="0.2">
      <c r="G965" s="32"/>
    </row>
    <row r="966" spans="7:7" ht="12.75" customHeight="1" x14ac:dyDescent="0.2">
      <c r="G966" s="32"/>
    </row>
    <row r="967" spans="7:7" ht="12.75" customHeight="1" x14ac:dyDescent="0.2">
      <c r="G967" s="32"/>
    </row>
    <row r="968" spans="7:7" ht="12.75" customHeight="1" x14ac:dyDescent="0.2">
      <c r="G968" s="32"/>
    </row>
    <row r="969" spans="7:7" ht="12.75" customHeight="1" x14ac:dyDescent="0.2">
      <c r="G969" s="32"/>
    </row>
    <row r="970" spans="7:7" ht="12.75" customHeight="1" x14ac:dyDescent="0.2">
      <c r="G970" s="32"/>
    </row>
    <row r="971" spans="7:7" ht="12.75" customHeight="1" x14ac:dyDescent="0.2">
      <c r="G971" s="32"/>
    </row>
    <row r="972" spans="7:7" ht="12.75" customHeight="1" x14ac:dyDescent="0.2">
      <c r="G972" s="32"/>
    </row>
    <row r="973" spans="7:7" ht="12.75" customHeight="1" x14ac:dyDescent="0.2">
      <c r="G973" s="32"/>
    </row>
    <row r="974" spans="7:7" ht="12.75" customHeight="1" x14ac:dyDescent="0.2">
      <c r="G974" s="32"/>
    </row>
    <row r="975" spans="7:7" ht="12.75" customHeight="1" x14ac:dyDescent="0.2">
      <c r="G975" s="32"/>
    </row>
    <row r="976" spans="7:7" ht="12.75" customHeight="1" x14ac:dyDescent="0.2">
      <c r="G976" s="32"/>
    </row>
    <row r="977" spans="7:7" ht="12.75" customHeight="1" x14ac:dyDescent="0.2">
      <c r="G977" s="32"/>
    </row>
    <row r="978" spans="7:7" ht="12.75" customHeight="1" x14ac:dyDescent="0.2">
      <c r="G978" s="32"/>
    </row>
    <row r="979" spans="7:7" ht="12.75" customHeight="1" x14ac:dyDescent="0.2">
      <c r="G979" s="32"/>
    </row>
    <row r="980" spans="7:7" ht="12.75" customHeight="1" x14ac:dyDescent="0.2">
      <c r="G980" s="32"/>
    </row>
    <row r="981" spans="7:7" ht="12.75" customHeight="1" x14ac:dyDescent="0.2">
      <c r="G981" s="32"/>
    </row>
    <row r="982" spans="7:7" ht="12.75" customHeight="1" x14ac:dyDescent="0.2">
      <c r="G982" s="32"/>
    </row>
    <row r="983" spans="7:7" ht="12.75" customHeight="1" x14ac:dyDescent="0.2">
      <c r="G983" s="32"/>
    </row>
    <row r="984" spans="7:7" ht="12.75" customHeight="1" x14ac:dyDescent="0.2">
      <c r="G984" s="32"/>
    </row>
    <row r="985" spans="7:7" ht="12.75" customHeight="1" x14ac:dyDescent="0.2">
      <c r="G985" s="32"/>
    </row>
    <row r="986" spans="7:7" ht="12.75" customHeight="1" x14ac:dyDescent="0.2">
      <c r="G986" s="32"/>
    </row>
    <row r="987" spans="7:7" ht="12.75" customHeight="1" x14ac:dyDescent="0.2">
      <c r="G987" s="32"/>
    </row>
    <row r="988" spans="7:7" ht="12.75" customHeight="1" x14ac:dyDescent="0.2">
      <c r="G988" s="32"/>
    </row>
    <row r="989" spans="7:7" ht="12.75" customHeight="1" x14ac:dyDescent="0.2">
      <c r="G989" s="32"/>
    </row>
    <row r="990" spans="7:7" ht="12.75" customHeight="1" x14ac:dyDescent="0.2">
      <c r="G990" s="32"/>
    </row>
    <row r="991" spans="7:7" ht="12.75" customHeight="1" x14ac:dyDescent="0.2">
      <c r="G991" s="32"/>
    </row>
    <row r="992" spans="7:7" ht="12.75" customHeight="1" x14ac:dyDescent="0.2">
      <c r="G992" s="32"/>
    </row>
    <row r="993" spans="7:7" ht="12.75" customHeight="1" x14ac:dyDescent="0.2">
      <c r="G993" s="32"/>
    </row>
    <row r="994" spans="7:7" ht="12.75" customHeight="1" x14ac:dyDescent="0.2">
      <c r="G994" s="32"/>
    </row>
    <row r="995" spans="7:7" ht="12.75" customHeight="1" x14ac:dyDescent="0.2">
      <c r="G995" s="32"/>
    </row>
    <row r="996" spans="7:7" ht="12.75" customHeight="1" x14ac:dyDescent="0.2">
      <c r="G996" s="32"/>
    </row>
    <row r="997" spans="7:7" ht="12.75" customHeight="1" x14ac:dyDescent="0.2">
      <c r="G997" s="32"/>
    </row>
    <row r="998" spans="7:7" ht="12.75" customHeight="1" x14ac:dyDescent="0.2">
      <c r="G998" s="32"/>
    </row>
    <row r="999" spans="7:7" ht="12.75" customHeight="1" x14ac:dyDescent="0.2">
      <c r="G999" s="32"/>
    </row>
    <row r="1000" spans="7:7" ht="12.75" customHeight="1" x14ac:dyDescent="0.2">
      <c r="G1000" s="32"/>
    </row>
    <row r="1001" spans="7:7" ht="12.75" customHeight="1" x14ac:dyDescent="0.2">
      <c r="G1001" s="32"/>
    </row>
    <row r="1002" spans="7:7" ht="12.75" customHeight="1" x14ac:dyDescent="0.2">
      <c r="G1002" s="32"/>
    </row>
    <row r="1003" spans="7:7" ht="12.75" customHeight="1" x14ac:dyDescent="0.2">
      <c r="G1003" s="32"/>
    </row>
    <row r="1004" spans="7:7" ht="12.75" customHeight="1" x14ac:dyDescent="0.2">
      <c r="G1004" s="32"/>
    </row>
  </sheetData>
  <pageMargins left="0.75" right="0.75" top="1" bottom="1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4"/>
  <sheetViews>
    <sheetView workbookViewId="0">
      <selection activeCell="G49" sqref="G49"/>
    </sheetView>
  </sheetViews>
  <sheetFormatPr baseColWidth="10" defaultColWidth="14.42578125" defaultRowHeight="15" customHeight="1" x14ac:dyDescent="0.2"/>
  <cols>
    <col min="1" max="2" width="12.42578125" customWidth="1"/>
    <col min="3" max="3" width="14.28515625" customWidth="1"/>
    <col min="4" max="4" width="6.7109375" customWidth="1"/>
    <col min="5" max="5" width="12.140625" customWidth="1"/>
    <col min="6" max="7" width="14.28515625" customWidth="1"/>
    <col min="8" max="8" width="6.7109375" customWidth="1"/>
    <col min="9" max="9" width="12.42578125" customWidth="1"/>
    <col min="10" max="10" width="11.7109375" customWidth="1"/>
    <col min="11" max="11" width="6.7109375" customWidth="1"/>
    <col min="12" max="13" width="10.7109375" customWidth="1"/>
    <col min="14" max="14" width="11.42578125" customWidth="1"/>
    <col min="15" max="26" width="10.7109375" customWidth="1"/>
  </cols>
  <sheetData>
    <row r="1" spans="1:15" ht="12.75" customHeight="1" x14ac:dyDescent="0.2">
      <c r="A1" s="192" t="s">
        <v>48</v>
      </c>
      <c r="B1" s="194" t="s">
        <v>49</v>
      </c>
      <c r="C1" s="194" t="s">
        <v>50</v>
      </c>
      <c r="D1" s="35"/>
      <c r="E1" s="192" t="s">
        <v>51</v>
      </c>
      <c r="F1" s="194" t="s">
        <v>52</v>
      </c>
      <c r="G1" s="194" t="s">
        <v>50</v>
      </c>
      <c r="I1" s="196" t="s">
        <v>53</v>
      </c>
      <c r="J1" s="197"/>
      <c r="L1" s="192" t="s">
        <v>54</v>
      </c>
      <c r="M1" s="194" t="s">
        <v>55</v>
      </c>
      <c r="N1" s="194" t="s">
        <v>56</v>
      </c>
      <c r="O1" s="194" t="s">
        <v>57</v>
      </c>
    </row>
    <row r="2" spans="1:15" ht="12.75" customHeight="1" x14ac:dyDescent="0.2">
      <c r="A2" s="193"/>
      <c r="B2" s="195"/>
      <c r="C2" s="195"/>
      <c r="D2" s="35"/>
      <c r="E2" s="193"/>
      <c r="F2" s="195"/>
      <c r="G2" s="195"/>
      <c r="I2" s="193"/>
      <c r="J2" s="198"/>
      <c r="L2" s="193"/>
      <c r="M2" s="195"/>
      <c r="N2" s="195"/>
      <c r="O2" s="195"/>
    </row>
    <row r="3" spans="1:15" ht="12.75" customHeight="1" x14ac:dyDescent="0.2">
      <c r="A3" s="36" t="s">
        <v>43</v>
      </c>
      <c r="B3" s="37"/>
      <c r="C3" s="38"/>
      <c r="E3" s="36" t="s">
        <v>43</v>
      </c>
      <c r="F3" s="37">
        <f>+Albañileria!H4+Albañileria!H5+Albañileria!H6</f>
        <v>342.88</v>
      </c>
      <c r="G3" s="39"/>
      <c r="I3" s="36" t="s">
        <v>43</v>
      </c>
      <c r="J3" s="40">
        <f>+(11.5+5.3)*2*4</f>
        <v>134.4</v>
      </c>
      <c r="L3" s="36" t="s">
        <v>43</v>
      </c>
      <c r="M3" s="37"/>
      <c r="N3" s="41"/>
      <c r="O3" s="38"/>
    </row>
    <row r="4" spans="1:15" ht="12.75" customHeight="1" x14ac:dyDescent="0.2">
      <c r="A4" s="42">
        <v>1</v>
      </c>
      <c r="B4" s="43">
        <f>+F4</f>
        <v>44.160000000000011</v>
      </c>
      <c r="C4" s="39"/>
      <c r="E4" s="42">
        <v>1</v>
      </c>
      <c r="F4" s="43">
        <f t="shared" ref="F4:F6" si="0">+(8.96*2+1.4*2)*3-1.5*2*6</f>
        <v>44.160000000000011</v>
      </c>
      <c r="G4" s="39">
        <f>18.4*2*3</f>
        <v>110.39999999999999</v>
      </c>
      <c r="I4" s="42">
        <v>1</v>
      </c>
      <c r="J4" s="39">
        <f>+(16.8+8.36)*2*2.8</f>
        <v>140.89599999999999</v>
      </c>
      <c r="L4" s="42">
        <v>1</v>
      </c>
      <c r="M4" s="43">
        <f>1.5*8.36+1.5*1.1*2</f>
        <v>15.84</v>
      </c>
      <c r="N4" s="44"/>
      <c r="O4" s="39">
        <f>+(1.5*2+8.36)*1+(1.5+1.1)*2*1</f>
        <v>16.559999999999999</v>
      </c>
    </row>
    <row r="5" spans="1:15" ht="12.75" customHeight="1" x14ac:dyDescent="0.2">
      <c r="A5" s="42">
        <v>2</v>
      </c>
      <c r="B5" s="43">
        <f t="shared" ref="B5:B15" si="1">+F5</f>
        <v>44.160000000000011</v>
      </c>
      <c r="C5" s="39"/>
      <c r="E5" s="42">
        <v>2</v>
      </c>
      <c r="F5" s="43">
        <f t="shared" si="0"/>
        <v>44.160000000000011</v>
      </c>
      <c r="G5" s="39">
        <f t="shared" ref="G5:G9" si="2">18.4*2*3</f>
        <v>110.39999999999999</v>
      </c>
      <c r="I5" s="42">
        <v>2</v>
      </c>
      <c r="J5" s="39">
        <f t="shared" ref="J5:J7" si="3">+(16.8+8.36)*2*2.8</f>
        <v>140.89599999999999</v>
      </c>
      <c r="L5" s="42">
        <v>2</v>
      </c>
      <c r="M5" s="43">
        <f t="shared" ref="M5:M7" si="4">1.5*8.36+1.5*1.1*2</f>
        <v>15.84</v>
      </c>
      <c r="N5" s="44"/>
      <c r="O5" s="39">
        <f t="shared" ref="O5:O7" si="5">+(1.5*2+8.36)*1+(1.5+1.1)*2*1</f>
        <v>16.559999999999999</v>
      </c>
    </row>
    <row r="6" spans="1:15" ht="12.75" customHeight="1" x14ac:dyDescent="0.2">
      <c r="A6" s="45">
        <v>3</v>
      </c>
      <c r="B6" s="43">
        <f t="shared" si="1"/>
        <v>44.160000000000011</v>
      </c>
      <c r="C6" s="39"/>
      <c r="E6" s="45">
        <v>3</v>
      </c>
      <c r="F6" s="43">
        <f t="shared" si="0"/>
        <v>44.160000000000011</v>
      </c>
      <c r="G6" s="39">
        <f t="shared" si="2"/>
        <v>110.39999999999999</v>
      </c>
      <c r="I6" s="45">
        <v>3</v>
      </c>
      <c r="J6" s="39">
        <f t="shared" si="3"/>
        <v>140.89599999999999</v>
      </c>
      <c r="L6" s="45">
        <v>3</v>
      </c>
      <c r="M6" s="43">
        <f t="shared" si="4"/>
        <v>15.84</v>
      </c>
      <c r="N6" s="44"/>
      <c r="O6" s="39">
        <f t="shared" si="5"/>
        <v>16.559999999999999</v>
      </c>
    </row>
    <row r="7" spans="1:15" ht="12.75" customHeight="1" x14ac:dyDescent="0.2">
      <c r="A7" s="45">
        <v>4</v>
      </c>
      <c r="B7" s="43">
        <f t="shared" si="1"/>
        <v>44.160000000000011</v>
      </c>
      <c r="C7" s="39"/>
      <c r="E7" s="45">
        <v>4</v>
      </c>
      <c r="F7" s="43">
        <f>+(8.96*2+1.4*2)*3-1.5*2*6</f>
        <v>44.160000000000011</v>
      </c>
      <c r="G7" s="39">
        <f t="shared" si="2"/>
        <v>110.39999999999999</v>
      </c>
      <c r="I7" s="45">
        <v>4</v>
      </c>
      <c r="J7" s="39">
        <f t="shared" si="3"/>
        <v>140.89599999999999</v>
      </c>
      <c r="L7" s="45">
        <v>4</v>
      </c>
      <c r="M7" s="43">
        <f t="shared" si="4"/>
        <v>15.84</v>
      </c>
      <c r="N7" s="44"/>
      <c r="O7" s="39">
        <f t="shared" si="5"/>
        <v>16.559999999999999</v>
      </c>
    </row>
    <row r="8" spans="1:15" ht="12.75" customHeight="1" x14ac:dyDescent="0.2">
      <c r="A8" s="45">
        <v>5</v>
      </c>
      <c r="B8" s="43">
        <f t="shared" si="1"/>
        <v>47.460000000000008</v>
      </c>
      <c r="C8" s="39"/>
      <c r="E8" s="45">
        <v>5</v>
      </c>
      <c r="F8" s="43">
        <f>+(8.96*2+1.95*2)*3-1.5*2*6</f>
        <v>47.460000000000008</v>
      </c>
      <c r="G8" s="39">
        <f t="shared" si="2"/>
        <v>110.39999999999999</v>
      </c>
      <c r="I8" s="45">
        <v>5</v>
      </c>
      <c r="J8" s="39">
        <f>+(16.2+8.36)*2*2.8</f>
        <v>137.53599999999997</v>
      </c>
      <c r="L8" s="45">
        <v>5</v>
      </c>
      <c r="M8" s="43">
        <f>1.5*8.36+1.5*1.65*2</f>
        <v>17.489999999999998</v>
      </c>
      <c r="N8" s="44"/>
      <c r="O8" s="39">
        <f>+(1.5*2+8.36)*1+(1.5+1.65)*2*1</f>
        <v>17.66</v>
      </c>
    </row>
    <row r="9" spans="1:15" ht="12.75" customHeight="1" x14ac:dyDescent="0.2">
      <c r="A9" s="45">
        <v>6</v>
      </c>
      <c r="B9" s="43">
        <f t="shared" si="1"/>
        <v>52.86</v>
      </c>
      <c r="C9" s="39"/>
      <c r="E9" s="45">
        <v>6</v>
      </c>
      <c r="F9" s="43">
        <f>+(8.96*2+2.85*2)*3-1.5*2*6</f>
        <v>52.86</v>
      </c>
      <c r="G9" s="39">
        <f t="shared" si="2"/>
        <v>110.39999999999999</v>
      </c>
      <c r="I9" s="45">
        <v>6</v>
      </c>
      <c r="J9" s="39">
        <f>+(15.3+8.36)*2*2.8</f>
        <v>132.49599999999998</v>
      </c>
      <c r="L9" s="45">
        <v>6</v>
      </c>
      <c r="M9" s="43">
        <f>1.5*8.36+(1.5*2.55+0.9*2.68)*2</f>
        <v>25.013999999999999</v>
      </c>
      <c r="N9" s="44"/>
      <c r="O9" s="39">
        <f>+(1.5*2+8.36)*1+(8.36+1.8*2)*1</f>
        <v>23.32</v>
      </c>
    </row>
    <row r="10" spans="1:15" s="71" customFormat="1" ht="12.75" customHeight="1" x14ac:dyDescent="0.2">
      <c r="A10" s="45">
        <v>7</v>
      </c>
      <c r="B10" s="43">
        <f t="shared" si="1"/>
        <v>45.96</v>
      </c>
      <c r="C10" s="39"/>
      <c r="E10" s="45">
        <v>7</v>
      </c>
      <c r="F10" s="43">
        <f>+(8.96*2+1.2*2)*3-1.5*2*5</f>
        <v>45.96</v>
      </c>
      <c r="G10" s="39">
        <f>15.7*2*3</f>
        <v>94.199999999999989</v>
      </c>
      <c r="I10" s="45">
        <v>7</v>
      </c>
      <c r="J10" s="39">
        <f>+(14.5+8.36)*2*2.8</f>
        <v>128.01599999999999</v>
      </c>
      <c r="L10" s="45">
        <v>7</v>
      </c>
      <c r="M10" s="43">
        <f>1.5*8.36+0.9*8.36</f>
        <v>20.064</v>
      </c>
      <c r="N10" s="74"/>
      <c r="O10" s="39">
        <f>+(1.5*2+8.36)*1+(8.36)*1</f>
        <v>19.72</v>
      </c>
    </row>
    <row r="11" spans="1:15" s="71" customFormat="1" ht="12.75" customHeight="1" x14ac:dyDescent="0.2">
      <c r="A11" s="45">
        <v>8</v>
      </c>
      <c r="B11" s="43">
        <f t="shared" si="1"/>
        <v>45.96</v>
      </c>
      <c r="C11" s="39"/>
      <c r="E11" s="45">
        <v>8</v>
      </c>
      <c r="F11" s="43">
        <f>+(8.96*2+1.2*2)*3-1.5*2*5</f>
        <v>45.96</v>
      </c>
      <c r="G11" s="39">
        <f>14.9*2*3</f>
        <v>89.4</v>
      </c>
      <c r="I11" s="45">
        <v>8</v>
      </c>
      <c r="J11" s="39">
        <f>+(13.6+8.36)*2*2.8</f>
        <v>122.976</v>
      </c>
      <c r="L11" s="45">
        <v>8</v>
      </c>
      <c r="M11" s="43">
        <f t="shared" ref="M11:M12" si="6">1.5*8.36+0.9*8.36</f>
        <v>20.064</v>
      </c>
      <c r="N11" s="74"/>
      <c r="O11" s="39">
        <f t="shared" ref="O11:O12" si="7">+(1.5*2+8.36)*1+(8.36)*1</f>
        <v>19.72</v>
      </c>
    </row>
    <row r="12" spans="1:15" s="71" customFormat="1" ht="12.75" customHeight="1" x14ac:dyDescent="0.2">
      <c r="A12" s="45">
        <v>9</v>
      </c>
      <c r="B12" s="43">
        <f t="shared" si="1"/>
        <v>45.96</v>
      </c>
      <c r="C12" s="39"/>
      <c r="E12" s="45">
        <v>9</v>
      </c>
      <c r="F12" s="43">
        <f>+(8.96*2+1.2*2)*3-1.5*2*5</f>
        <v>45.96</v>
      </c>
      <c r="G12" s="39">
        <f>14*2*3</f>
        <v>84</v>
      </c>
      <c r="I12" s="45">
        <v>9</v>
      </c>
      <c r="J12" s="39">
        <f>+(12.7+8.36)*2*2.8</f>
        <v>117.93599999999998</v>
      </c>
      <c r="L12" s="45">
        <v>9</v>
      </c>
      <c r="M12" s="43">
        <f t="shared" si="6"/>
        <v>20.064</v>
      </c>
      <c r="N12" s="74"/>
      <c r="O12" s="39">
        <f t="shared" si="7"/>
        <v>19.72</v>
      </c>
    </row>
    <row r="13" spans="1:15" s="71" customFormat="1" ht="12.75" customHeight="1" x14ac:dyDescent="0.2">
      <c r="A13" s="45">
        <v>10</v>
      </c>
      <c r="B13" s="43">
        <f t="shared" si="1"/>
        <v>93.360000000000014</v>
      </c>
      <c r="C13" s="39"/>
      <c r="E13" s="45">
        <v>10</v>
      </c>
      <c r="F13" s="43">
        <f>+(8.96*2+5.1*2+3*2)*3-1.5*2*3</f>
        <v>93.360000000000014</v>
      </c>
      <c r="G13" s="39">
        <f>13.1*2*3</f>
        <v>78.599999999999994</v>
      </c>
      <c r="I13" s="45">
        <v>10</v>
      </c>
      <c r="J13" s="39">
        <f>+(10+8.36)*2*2.8</f>
        <v>102.81599999999999</v>
      </c>
      <c r="L13" s="45">
        <v>10</v>
      </c>
      <c r="M13" s="43">
        <f>1.5*8.36</f>
        <v>12.54</v>
      </c>
      <c r="N13" s="74"/>
      <c r="O13" s="39">
        <f>+(1.5*2+8.36)*1</f>
        <v>11.36</v>
      </c>
    </row>
    <row r="14" spans="1:15" ht="12.75" customHeight="1" x14ac:dyDescent="0.2">
      <c r="A14" s="45" t="s">
        <v>35</v>
      </c>
      <c r="B14" s="43">
        <f t="shared" si="1"/>
        <v>98.76</v>
      </c>
      <c r="C14" s="39"/>
      <c r="E14" s="45" t="s">
        <v>35</v>
      </c>
      <c r="F14" s="43">
        <f>+(8.96+7.5)*2*3</f>
        <v>98.76</v>
      </c>
      <c r="G14" s="39">
        <f>13.1*2*3</f>
        <v>78.599999999999994</v>
      </c>
      <c r="I14" s="45" t="s">
        <v>35</v>
      </c>
      <c r="J14" s="39">
        <f>+(4.5+5.3)*2*2.8</f>
        <v>54.88</v>
      </c>
      <c r="L14" s="45" t="s">
        <v>35</v>
      </c>
      <c r="M14" s="43">
        <v>39.549999999999997</v>
      </c>
      <c r="N14" s="44"/>
      <c r="O14" s="39"/>
    </row>
    <row r="15" spans="1:15" ht="12.75" customHeight="1" x14ac:dyDescent="0.2">
      <c r="A15" s="46" t="s">
        <v>44</v>
      </c>
      <c r="B15" s="47">
        <f t="shared" si="1"/>
        <v>48</v>
      </c>
      <c r="C15" s="39"/>
      <c r="E15" s="46" t="s">
        <v>44</v>
      </c>
      <c r="F15" s="47">
        <f>+(5+5.5*2)*3</f>
        <v>48</v>
      </c>
      <c r="G15" s="48">
        <f>4.5*3</f>
        <v>13.5</v>
      </c>
      <c r="I15" s="46" t="s">
        <v>44</v>
      </c>
      <c r="J15" s="48"/>
      <c r="L15" s="46" t="s">
        <v>44</v>
      </c>
      <c r="M15" s="47"/>
      <c r="N15" s="49"/>
      <c r="O15" s="48"/>
    </row>
    <row r="16" spans="1:15" ht="12.75" customHeight="1" x14ac:dyDescent="0.2">
      <c r="A16" s="50" t="s">
        <v>45</v>
      </c>
      <c r="B16" s="51">
        <f>SUM(B3:B15)</f>
        <v>654.96</v>
      </c>
      <c r="C16" s="52">
        <f>SUM(C3:C15)</f>
        <v>0</v>
      </c>
      <c r="E16" s="50" t="s">
        <v>45</v>
      </c>
      <c r="F16" s="53">
        <f>SUM(F3:F15)</f>
        <v>997.84000000000026</v>
      </c>
      <c r="G16" s="54">
        <f>SUM(G3:G15)</f>
        <v>1100.6999999999998</v>
      </c>
      <c r="I16" s="50" t="s">
        <v>45</v>
      </c>
      <c r="J16" s="54">
        <f>SUM(J3:J15)</f>
        <v>1494.6399999999999</v>
      </c>
      <c r="L16" s="50" t="s">
        <v>45</v>
      </c>
      <c r="M16" s="51">
        <f t="shared" ref="M16:O16" si="8">SUM(M3:M15)</f>
        <v>218.14599999999996</v>
      </c>
      <c r="N16" s="51">
        <f t="shared" si="8"/>
        <v>0</v>
      </c>
      <c r="O16" s="52">
        <f t="shared" si="8"/>
        <v>177.74</v>
      </c>
    </row>
    <row r="17" spans="1:15" ht="12.75" customHeight="1" x14ac:dyDescent="0.2">
      <c r="A17" s="29"/>
      <c r="B17" s="29"/>
      <c r="C17" s="29"/>
      <c r="E17" s="29"/>
      <c r="F17" s="55"/>
      <c r="G17" s="55"/>
      <c r="N17" s="32"/>
      <c r="O17" s="56">
        <f>SUM(M16:O16)</f>
        <v>395.88599999999997</v>
      </c>
    </row>
    <row r="18" spans="1:15" ht="12.75" customHeight="1" x14ac:dyDescent="0.2">
      <c r="A18" s="29"/>
      <c r="B18" s="29"/>
      <c r="G18" s="30"/>
      <c r="N18" s="32"/>
    </row>
    <row r="19" spans="1:15" ht="12.75" customHeight="1" x14ac:dyDescent="0.2">
      <c r="A19" s="29"/>
      <c r="B19" s="29"/>
      <c r="N19" s="32"/>
    </row>
    <row r="20" spans="1:15" ht="12.75" customHeight="1" x14ac:dyDescent="0.2">
      <c r="A20" s="29"/>
      <c r="B20" s="29"/>
      <c r="N20" s="32"/>
    </row>
    <row r="21" spans="1:15" ht="12.75" customHeight="1" x14ac:dyDescent="0.2">
      <c r="A21" s="29"/>
      <c r="B21" s="29"/>
      <c r="N21" s="32"/>
    </row>
    <row r="22" spans="1:15" ht="12.75" customHeight="1" x14ac:dyDescent="0.2">
      <c r="A22" s="29"/>
      <c r="B22" s="29"/>
      <c r="N22" s="32"/>
    </row>
    <row r="23" spans="1:15" ht="12.75" customHeight="1" x14ac:dyDescent="0.2">
      <c r="N23" s="32"/>
    </row>
    <row r="24" spans="1:15" ht="12.75" customHeight="1" x14ac:dyDescent="0.2">
      <c r="N24" s="32"/>
    </row>
    <row r="25" spans="1:15" ht="12.75" customHeight="1" x14ac:dyDescent="0.2">
      <c r="N25" s="32"/>
    </row>
    <row r="26" spans="1:15" ht="12.75" customHeight="1" x14ac:dyDescent="0.2">
      <c r="N26" s="32"/>
    </row>
    <row r="27" spans="1:15" ht="12.75" customHeight="1" x14ac:dyDescent="0.2">
      <c r="N27" s="32"/>
    </row>
    <row r="28" spans="1:15" ht="12.75" customHeight="1" x14ac:dyDescent="0.2">
      <c r="N28" s="32"/>
    </row>
    <row r="29" spans="1:15" ht="12.75" customHeight="1" x14ac:dyDescent="0.2">
      <c r="N29" s="32"/>
    </row>
    <row r="30" spans="1:15" ht="12.75" customHeight="1" x14ac:dyDescent="0.2">
      <c r="N30" s="32"/>
    </row>
    <row r="31" spans="1:15" ht="12.75" customHeight="1" x14ac:dyDescent="0.2">
      <c r="N31" s="32"/>
    </row>
    <row r="32" spans="1:15" ht="12.75" customHeight="1" x14ac:dyDescent="0.2">
      <c r="N32" s="32"/>
    </row>
    <row r="33" spans="14:14" ht="12.75" customHeight="1" x14ac:dyDescent="0.2">
      <c r="N33" s="32"/>
    </row>
    <row r="34" spans="14:14" ht="12.75" customHeight="1" x14ac:dyDescent="0.2">
      <c r="N34" s="32"/>
    </row>
    <row r="35" spans="14:14" ht="12.75" customHeight="1" x14ac:dyDescent="0.2">
      <c r="N35" s="32"/>
    </row>
    <row r="36" spans="14:14" ht="12.75" customHeight="1" x14ac:dyDescent="0.2">
      <c r="N36" s="32"/>
    </row>
    <row r="37" spans="14:14" ht="12.75" customHeight="1" x14ac:dyDescent="0.2">
      <c r="N37" s="32"/>
    </row>
    <row r="38" spans="14:14" ht="12.75" customHeight="1" x14ac:dyDescent="0.2">
      <c r="N38" s="32"/>
    </row>
    <row r="39" spans="14:14" ht="12.75" customHeight="1" x14ac:dyDescent="0.2">
      <c r="N39" s="32"/>
    </row>
    <row r="40" spans="14:14" ht="12.75" customHeight="1" x14ac:dyDescent="0.2">
      <c r="N40" s="32"/>
    </row>
    <row r="41" spans="14:14" ht="12.75" customHeight="1" x14ac:dyDescent="0.2">
      <c r="N41" s="32"/>
    </row>
    <row r="42" spans="14:14" ht="12.75" customHeight="1" x14ac:dyDescent="0.2">
      <c r="N42" s="32"/>
    </row>
    <row r="43" spans="14:14" ht="12.75" customHeight="1" x14ac:dyDescent="0.2">
      <c r="N43" s="32"/>
    </row>
    <row r="44" spans="14:14" ht="12.75" customHeight="1" x14ac:dyDescent="0.2">
      <c r="N44" s="32"/>
    </row>
    <row r="45" spans="14:14" ht="12.75" customHeight="1" x14ac:dyDescent="0.2">
      <c r="N45" s="32"/>
    </row>
    <row r="46" spans="14:14" ht="12.75" customHeight="1" x14ac:dyDescent="0.2">
      <c r="N46" s="32"/>
    </row>
    <row r="47" spans="14:14" ht="12.75" customHeight="1" x14ac:dyDescent="0.2">
      <c r="N47" s="32"/>
    </row>
    <row r="48" spans="14:14" ht="12.75" customHeight="1" x14ac:dyDescent="0.2">
      <c r="N48" s="32"/>
    </row>
    <row r="49" spans="14:14" ht="12.75" customHeight="1" x14ac:dyDescent="0.2">
      <c r="N49" s="32"/>
    </row>
    <row r="50" spans="14:14" ht="12.75" customHeight="1" x14ac:dyDescent="0.2">
      <c r="N50" s="32"/>
    </row>
    <row r="51" spans="14:14" ht="12.75" customHeight="1" x14ac:dyDescent="0.2">
      <c r="N51" s="32"/>
    </row>
    <row r="52" spans="14:14" ht="12.75" customHeight="1" x14ac:dyDescent="0.2">
      <c r="N52" s="32"/>
    </row>
    <row r="53" spans="14:14" ht="12.75" customHeight="1" x14ac:dyDescent="0.2">
      <c r="N53" s="32"/>
    </row>
    <row r="54" spans="14:14" ht="12.75" customHeight="1" x14ac:dyDescent="0.2">
      <c r="N54" s="32"/>
    </row>
    <row r="55" spans="14:14" ht="12.75" customHeight="1" x14ac:dyDescent="0.2">
      <c r="N55" s="32"/>
    </row>
    <row r="56" spans="14:14" ht="12.75" customHeight="1" x14ac:dyDescent="0.2">
      <c r="N56" s="32"/>
    </row>
    <row r="57" spans="14:14" ht="12.75" customHeight="1" x14ac:dyDescent="0.2">
      <c r="N57" s="32"/>
    </row>
    <row r="58" spans="14:14" ht="12.75" customHeight="1" x14ac:dyDescent="0.2">
      <c r="N58" s="32"/>
    </row>
    <row r="59" spans="14:14" ht="12.75" customHeight="1" x14ac:dyDescent="0.2">
      <c r="N59" s="32"/>
    </row>
    <row r="60" spans="14:14" ht="12.75" customHeight="1" x14ac:dyDescent="0.2">
      <c r="N60" s="32"/>
    </row>
    <row r="61" spans="14:14" ht="12.75" customHeight="1" x14ac:dyDescent="0.2">
      <c r="N61" s="32"/>
    </row>
    <row r="62" spans="14:14" ht="12.75" customHeight="1" x14ac:dyDescent="0.2">
      <c r="N62" s="32"/>
    </row>
    <row r="63" spans="14:14" ht="12.75" customHeight="1" x14ac:dyDescent="0.2">
      <c r="N63" s="32"/>
    </row>
    <row r="64" spans="14:14" ht="12.75" customHeight="1" x14ac:dyDescent="0.2">
      <c r="N64" s="32"/>
    </row>
    <row r="65" spans="14:14" ht="12.75" customHeight="1" x14ac:dyDescent="0.2">
      <c r="N65" s="32"/>
    </row>
    <row r="66" spans="14:14" ht="12.75" customHeight="1" x14ac:dyDescent="0.2">
      <c r="N66" s="32"/>
    </row>
    <row r="67" spans="14:14" ht="12.75" customHeight="1" x14ac:dyDescent="0.2">
      <c r="N67" s="32"/>
    </row>
    <row r="68" spans="14:14" ht="12.75" customHeight="1" x14ac:dyDescent="0.2">
      <c r="N68" s="32"/>
    </row>
    <row r="69" spans="14:14" ht="12.75" customHeight="1" x14ac:dyDescent="0.2">
      <c r="N69" s="32"/>
    </row>
    <row r="70" spans="14:14" ht="12.75" customHeight="1" x14ac:dyDescent="0.2">
      <c r="N70" s="32"/>
    </row>
    <row r="71" spans="14:14" ht="12.75" customHeight="1" x14ac:dyDescent="0.2">
      <c r="N71" s="32"/>
    </row>
    <row r="72" spans="14:14" ht="12.75" customHeight="1" x14ac:dyDescent="0.2">
      <c r="N72" s="32"/>
    </row>
    <row r="73" spans="14:14" ht="12.75" customHeight="1" x14ac:dyDescent="0.2">
      <c r="N73" s="32"/>
    </row>
    <row r="74" spans="14:14" ht="12.75" customHeight="1" x14ac:dyDescent="0.2">
      <c r="N74" s="32"/>
    </row>
    <row r="75" spans="14:14" ht="12.75" customHeight="1" x14ac:dyDescent="0.2">
      <c r="N75" s="32"/>
    </row>
    <row r="76" spans="14:14" ht="12.75" customHeight="1" x14ac:dyDescent="0.2">
      <c r="N76" s="32"/>
    </row>
    <row r="77" spans="14:14" ht="12.75" customHeight="1" x14ac:dyDescent="0.2">
      <c r="N77" s="32"/>
    </row>
    <row r="78" spans="14:14" ht="12.75" customHeight="1" x14ac:dyDescent="0.2">
      <c r="N78" s="32"/>
    </row>
    <row r="79" spans="14:14" ht="12.75" customHeight="1" x14ac:dyDescent="0.2">
      <c r="N79" s="32"/>
    </row>
    <row r="80" spans="14:14" ht="12.75" customHeight="1" x14ac:dyDescent="0.2">
      <c r="N80" s="32"/>
    </row>
    <row r="81" spans="14:14" ht="12.75" customHeight="1" x14ac:dyDescent="0.2">
      <c r="N81" s="32"/>
    </row>
    <row r="82" spans="14:14" ht="12.75" customHeight="1" x14ac:dyDescent="0.2">
      <c r="N82" s="32"/>
    </row>
    <row r="83" spans="14:14" ht="12.75" customHeight="1" x14ac:dyDescent="0.2">
      <c r="N83" s="32"/>
    </row>
    <row r="84" spans="14:14" ht="12.75" customHeight="1" x14ac:dyDescent="0.2">
      <c r="N84" s="32"/>
    </row>
    <row r="85" spans="14:14" ht="12.75" customHeight="1" x14ac:dyDescent="0.2">
      <c r="N85" s="32"/>
    </row>
    <row r="86" spans="14:14" ht="12.75" customHeight="1" x14ac:dyDescent="0.2">
      <c r="N86" s="32"/>
    </row>
    <row r="87" spans="14:14" ht="12.75" customHeight="1" x14ac:dyDescent="0.2">
      <c r="N87" s="32"/>
    </row>
    <row r="88" spans="14:14" ht="12.75" customHeight="1" x14ac:dyDescent="0.2">
      <c r="N88" s="32"/>
    </row>
    <row r="89" spans="14:14" ht="12.75" customHeight="1" x14ac:dyDescent="0.2">
      <c r="N89" s="32"/>
    </row>
    <row r="90" spans="14:14" ht="12.75" customHeight="1" x14ac:dyDescent="0.2">
      <c r="N90" s="32"/>
    </row>
    <row r="91" spans="14:14" ht="12.75" customHeight="1" x14ac:dyDescent="0.2">
      <c r="N91" s="32"/>
    </row>
    <row r="92" spans="14:14" ht="12.75" customHeight="1" x14ac:dyDescent="0.2">
      <c r="N92" s="32"/>
    </row>
    <row r="93" spans="14:14" ht="12.75" customHeight="1" x14ac:dyDescent="0.2">
      <c r="N93" s="32"/>
    </row>
    <row r="94" spans="14:14" ht="12.75" customHeight="1" x14ac:dyDescent="0.2">
      <c r="N94" s="32"/>
    </row>
    <row r="95" spans="14:14" ht="12.75" customHeight="1" x14ac:dyDescent="0.2">
      <c r="N95" s="32"/>
    </row>
    <row r="96" spans="14:14" ht="12.75" customHeight="1" x14ac:dyDescent="0.2">
      <c r="N96" s="32"/>
    </row>
    <row r="97" spans="14:14" ht="12.75" customHeight="1" x14ac:dyDescent="0.2">
      <c r="N97" s="32"/>
    </row>
    <row r="98" spans="14:14" ht="12.75" customHeight="1" x14ac:dyDescent="0.2">
      <c r="N98" s="32"/>
    </row>
    <row r="99" spans="14:14" ht="12.75" customHeight="1" x14ac:dyDescent="0.2">
      <c r="N99" s="32"/>
    </row>
    <row r="100" spans="14:14" ht="12.75" customHeight="1" x14ac:dyDescent="0.2">
      <c r="N100" s="32"/>
    </row>
    <row r="101" spans="14:14" ht="12.75" customHeight="1" x14ac:dyDescent="0.2">
      <c r="N101" s="32"/>
    </row>
    <row r="102" spans="14:14" ht="12.75" customHeight="1" x14ac:dyDescent="0.2">
      <c r="N102" s="32"/>
    </row>
    <row r="103" spans="14:14" ht="12.75" customHeight="1" x14ac:dyDescent="0.2">
      <c r="N103" s="32"/>
    </row>
    <row r="104" spans="14:14" ht="12.75" customHeight="1" x14ac:dyDescent="0.2">
      <c r="N104" s="32"/>
    </row>
    <row r="105" spans="14:14" ht="12.75" customHeight="1" x14ac:dyDescent="0.2">
      <c r="N105" s="32"/>
    </row>
    <row r="106" spans="14:14" ht="12.75" customHeight="1" x14ac:dyDescent="0.2">
      <c r="N106" s="32"/>
    </row>
    <row r="107" spans="14:14" ht="12.75" customHeight="1" x14ac:dyDescent="0.2">
      <c r="N107" s="32"/>
    </row>
    <row r="108" spans="14:14" ht="12.75" customHeight="1" x14ac:dyDescent="0.2">
      <c r="N108" s="32"/>
    </row>
    <row r="109" spans="14:14" ht="12.75" customHeight="1" x14ac:dyDescent="0.2">
      <c r="N109" s="32"/>
    </row>
    <row r="110" spans="14:14" ht="12.75" customHeight="1" x14ac:dyDescent="0.2">
      <c r="N110" s="32"/>
    </row>
    <row r="111" spans="14:14" ht="12.75" customHeight="1" x14ac:dyDescent="0.2">
      <c r="N111" s="32"/>
    </row>
    <row r="112" spans="14:14" ht="12.75" customHeight="1" x14ac:dyDescent="0.2">
      <c r="N112" s="32"/>
    </row>
    <row r="113" spans="14:14" ht="12.75" customHeight="1" x14ac:dyDescent="0.2">
      <c r="N113" s="32"/>
    </row>
    <row r="114" spans="14:14" ht="12.75" customHeight="1" x14ac:dyDescent="0.2">
      <c r="N114" s="32"/>
    </row>
    <row r="115" spans="14:14" ht="12.75" customHeight="1" x14ac:dyDescent="0.2">
      <c r="N115" s="32"/>
    </row>
    <row r="116" spans="14:14" ht="12.75" customHeight="1" x14ac:dyDescent="0.2">
      <c r="N116" s="32"/>
    </row>
    <row r="117" spans="14:14" ht="12.75" customHeight="1" x14ac:dyDescent="0.2">
      <c r="N117" s="32"/>
    </row>
    <row r="118" spans="14:14" ht="12.75" customHeight="1" x14ac:dyDescent="0.2">
      <c r="N118" s="32"/>
    </row>
    <row r="119" spans="14:14" ht="12.75" customHeight="1" x14ac:dyDescent="0.2">
      <c r="N119" s="32"/>
    </row>
    <row r="120" spans="14:14" ht="12.75" customHeight="1" x14ac:dyDescent="0.2">
      <c r="N120" s="32"/>
    </row>
    <row r="121" spans="14:14" ht="12.75" customHeight="1" x14ac:dyDescent="0.2">
      <c r="N121" s="32"/>
    </row>
    <row r="122" spans="14:14" ht="12.75" customHeight="1" x14ac:dyDescent="0.2">
      <c r="N122" s="32"/>
    </row>
    <row r="123" spans="14:14" ht="12.75" customHeight="1" x14ac:dyDescent="0.2">
      <c r="N123" s="32"/>
    </row>
    <row r="124" spans="14:14" ht="12.75" customHeight="1" x14ac:dyDescent="0.2">
      <c r="N124" s="32"/>
    </row>
    <row r="125" spans="14:14" ht="12.75" customHeight="1" x14ac:dyDescent="0.2">
      <c r="N125" s="32"/>
    </row>
    <row r="126" spans="14:14" ht="12.75" customHeight="1" x14ac:dyDescent="0.2">
      <c r="N126" s="32"/>
    </row>
    <row r="127" spans="14:14" ht="12.75" customHeight="1" x14ac:dyDescent="0.2">
      <c r="N127" s="32"/>
    </row>
    <row r="128" spans="14:14" ht="12.75" customHeight="1" x14ac:dyDescent="0.2">
      <c r="N128" s="32"/>
    </row>
    <row r="129" spans="14:14" ht="12.75" customHeight="1" x14ac:dyDescent="0.2">
      <c r="N129" s="32"/>
    </row>
    <row r="130" spans="14:14" ht="12.75" customHeight="1" x14ac:dyDescent="0.2">
      <c r="N130" s="32"/>
    </row>
    <row r="131" spans="14:14" ht="12.75" customHeight="1" x14ac:dyDescent="0.2">
      <c r="N131" s="32"/>
    </row>
    <row r="132" spans="14:14" ht="12.75" customHeight="1" x14ac:dyDescent="0.2">
      <c r="N132" s="32"/>
    </row>
    <row r="133" spans="14:14" ht="12.75" customHeight="1" x14ac:dyDescent="0.2">
      <c r="N133" s="32"/>
    </row>
    <row r="134" spans="14:14" ht="12.75" customHeight="1" x14ac:dyDescent="0.2">
      <c r="N134" s="32"/>
    </row>
    <row r="135" spans="14:14" ht="12.75" customHeight="1" x14ac:dyDescent="0.2">
      <c r="N135" s="32"/>
    </row>
    <row r="136" spans="14:14" ht="12.75" customHeight="1" x14ac:dyDescent="0.2">
      <c r="N136" s="32"/>
    </row>
    <row r="137" spans="14:14" ht="12.75" customHeight="1" x14ac:dyDescent="0.2">
      <c r="N137" s="32"/>
    </row>
    <row r="138" spans="14:14" ht="12.75" customHeight="1" x14ac:dyDescent="0.2">
      <c r="N138" s="32"/>
    </row>
    <row r="139" spans="14:14" ht="12.75" customHeight="1" x14ac:dyDescent="0.2">
      <c r="N139" s="32"/>
    </row>
    <row r="140" spans="14:14" ht="12.75" customHeight="1" x14ac:dyDescent="0.2">
      <c r="N140" s="32"/>
    </row>
    <row r="141" spans="14:14" ht="12.75" customHeight="1" x14ac:dyDescent="0.2">
      <c r="N141" s="32"/>
    </row>
    <row r="142" spans="14:14" ht="12.75" customHeight="1" x14ac:dyDescent="0.2">
      <c r="N142" s="32"/>
    </row>
    <row r="143" spans="14:14" ht="12.75" customHeight="1" x14ac:dyDescent="0.2">
      <c r="N143" s="32"/>
    </row>
    <row r="144" spans="14:14" ht="12.75" customHeight="1" x14ac:dyDescent="0.2">
      <c r="N144" s="32"/>
    </row>
    <row r="145" spans="14:14" ht="12.75" customHeight="1" x14ac:dyDescent="0.2">
      <c r="N145" s="32"/>
    </row>
    <row r="146" spans="14:14" ht="12.75" customHeight="1" x14ac:dyDescent="0.2">
      <c r="N146" s="32"/>
    </row>
    <row r="147" spans="14:14" ht="12.75" customHeight="1" x14ac:dyDescent="0.2">
      <c r="N147" s="32"/>
    </row>
    <row r="148" spans="14:14" ht="12.75" customHeight="1" x14ac:dyDescent="0.2">
      <c r="N148" s="32"/>
    </row>
    <row r="149" spans="14:14" ht="12.75" customHeight="1" x14ac:dyDescent="0.2">
      <c r="N149" s="32"/>
    </row>
    <row r="150" spans="14:14" ht="12.75" customHeight="1" x14ac:dyDescent="0.2">
      <c r="N150" s="32"/>
    </row>
    <row r="151" spans="14:14" ht="12.75" customHeight="1" x14ac:dyDescent="0.2">
      <c r="N151" s="32"/>
    </row>
    <row r="152" spans="14:14" ht="12.75" customHeight="1" x14ac:dyDescent="0.2">
      <c r="N152" s="32"/>
    </row>
    <row r="153" spans="14:14" ht="12.75" customHeight="1" x14ac:dyDescent="0.2">
      <c r="N153" s="32"/>
    </row>
    <row r="154" spans="14:14" ht="12.75" customHeight="1" x14ac:dyDescent="0.2">
      <c r="N154" s="32"/>
    </row>
    <row r="155" spans="14:14" ht="12.75" customHeight="1" x14ac:dyDescent="0.2">
      <c r="N155" s="32"/>
    </row>
    <row r="156" spans="14:14" ht="12.75" customHeight="1" x14ac:dyDescent="0.2">
      <c r="N156" s="32"/>
    </row>
    <row r="157" spans="14:14" ht="12.75" customHeight="1" x14ac:dyDescent="0.2">
      <c r="N157" s="32"/>
    </row>
    <row r="158" spans="14:14" ht="12.75" customHeight="1" x14ac:dyDescent="0.2">
      <c r="N158" s="32"/>
    </row>
    <row r="159" spans="14:14" ht="12.75" customHeight="1" x14ac:dyDescent="0.2">
      <c r="N159" s="32"/>
    </row>
    <row r="160" spans="14:14" ht="12.75" customHeight="1" x14ac:dyDescent="0.2">
      <c r="N160" s="32"/>
    </row>
    <row r="161" spans="14:14" ht="12.75" customHeight="1" x14ac:dyDescent="0.2">
      <c r="N161" s="32"/>
    </row>
    <row r="162" spans="14:14" ht="12.75" customHeight="1" x14ac:dyDescent="0.2">
      <c r="N162" s="32"/>
    </row>
    <row r="163" spans="14:14" ht="12.75" customHeight="1" x14ac:dyDescent="0.2">
      <c r="N163" s="32"/>
    </row>
    <row r="164" spans="14:14" ht="12.75" customHeight="1" x14ac:dyDescent="0.2">
      <c r="N164" s="32"/>
    </row>
    <row r="165" spans="14:14" ht="12.75" customHeight="1" x14ac:dyDescent="0.2">
      <c r="N165" s="32"/>
    </row>
    <row r="166" spans="14:14" ht="12.75" customHeight="1" x14ac:dyDescent="0.2">
      <c r="N166" s="32"/>
    </row>
    <row r="167" spans="14:14" ht="12.75" customHeight="1" x14ac:dyDescent="0.2">
      <c r="N167" s="32"/>
    </row>
    <row r="168" spans="14:14" ht="12.75" customHeight="1" x14ac:dyDescent="0.2">
      <c r="N168" s="32"/>
    </row>
    <row r="169" spans="14:14" ht="12.75" customHeight="1" x14ac:dyDescent="0.2">
      <c r="N169" s="32"/>
    </row>
    <row r="170" spans="14:14" ht="12.75" customHeight="1" x14ac:dyDescent="0.2">
      <c r="N170" s="32"/>
    </row>
    <row r="171" spans="14:14" ht="12.75" customHeight="1" x14ac:dyDescent="0.2">
      <c r="N171" s="32"/>
    </row>
    <row r="172" spans="14:14" ht="12.75" customHeight="1" x14ac:dyDescent="0.2">
      <c r="N172" s="32"/>
    </row>
    <row r="173" spans="14:14" ht="12.75" customHeight="1" x14ac:dyDescent="0.2">
      <c r="N173" s="32"/>
    </row>
    <row r="174" spans="14:14" ht="12.75" customHeight="1" x14ac:dyDescent="0.2">
      <c r="N174" s="32"/>
    </row>
    <row r="175" spans="14:14" ht="12.75" customHeight="1" x14ac:dyDescent="0.2">
      <c r="N175" s="32"/>
    </row>
    <row r="176" spans="14:14" ht="12.75" customHeight="1" x14ac:dyDescent="0.2">
      <c r="N176" s="32"/>
    </row>
    <row r="177" spans="14:14" ht="12.75" customHeight="1" x14ac:dyDescent="0.2">
      <c r="N177" s="32"/>
    </row>
    <row r="178" spans="14:14" ht="12.75" customHeight="1" x14ac:dyDescent="0.2">
      <c r="N178" s="32"/>
    </row>
    <row r="179" spans="14:14" ht="12.75" customHeight="1" x14ac:dyDescent="0.2">
      <c r="N179" s="32"/>
    </row>
    <row r="180" spans="14:14" ht="12.75" customHeight="1" x14ac:dyDescent="0.2">
      <c r="N180" s="32"/>
    </row>
    <row r="181" spans="14:14" ht="12.75" customHeight="1" x14ac:dyDescent="0.2">
      <c r="N181" s="32"/>
    </row>
    <row r="182" spans="14:14" ht="12.75" customHeight="1" x14ac:dyDescent="0.2">
      <c r="N182" s="32"/>
    </row>
    <row r="183" spans="14:14" ht="12.75" customHeight="1" x14ac:dyDescent="0.2">
      <c r="N183" s="32"/>
    </row>
    <row r="184" spans="14:14" ht="12.75" customHeight="1" x14ac:dyDescent="0.2">
      <c r="N184" s="32"/>
    </row>
    <row r="185" spans="14:14" ht="12.75" customHeight="1" x14ac:dyDescent="0.2">
      <c r="N185" s="32"/>
    </row>
    <row r="186" spans="14:14" ht="12.75" customHeight="1" x14ac:dyDescent="0.2">
      <c r="N186" s="32"/>
    </row>
    <row r="187" spans="14:14" ht="12.75" customHeight="1" x14ac:dyDescent="0.2">
      <c r="N187" s="32"/>
    </row>
    <row r="188" spans="14:14" ht="12.75" customHeight="1" x14ac:dyDescent="0.2">
      <c r="N188" s="32"/>
    </row>
    <row r="189" spans="14:14" ht="12.75" customHeight="1" x14ac:dyDescent="0.2">
      <c r="N189" s="32"/>
    </row>
    <row r="190" spans="14:14" ht="12.75" customHeight="1" x14ac:dyDescent="0.2">
      <c r="N190" s="32"/>
    </row>
    <row r="191" spans="14:14" ht="12.75" customHeight="1" x14ac:dyDescent="0.2">
      <c r="N191" s="32"/>
    </row>
    <row r="192" spans="14:14" ht="12.75" customHeight="1" x14ac:dyDescent="0.2">
      <c r="N192" s="32"/>
    </row>
    <row r="193" spans="14:14" ht="12.75" customHeight="1" x14ac:dyDescent="0.2">
      <c r="N193" s="32"/>
    </row>
    <row r="194" spans="14:14" ht="12.75" customHeight="1" x14ac:dyDescent="0.2">
      <c r="N194" s="32"/>
    </row>
    <row r="195" spans="14:14" ht="12.75" customHeight="1" x14ac:dyDescent="0.2">
      <c r="N195" s="32"/>
    </row>
    <row r="196" spans="14:14" ht="12.75" customHeight="1" x14ac:dyDescent="0.2">
      <c r="N196" s="32"/>
    </row>
    <row r="197" spans="14:14" ht="12.75" customHeight="1" x14ac:dyDescent="0.2">
      <c r="N197" s="32"/>
    </row>
    <row r="198" spans="14:14" ht="12.75" customHeight="1" x14ac:dyDescent="0.2">
      <c r="N198" s="32"/>
    </row>
    <row r="199" spans="14:14" ht="12.75" customHeight="1" x14ac:dyDescent="0.2">
      <c r="N199" s="32"/>
    </row>
    <row r="200" spans="14:14" ht="12.75" customHeight="1" x14ac:dyDescent="0.2">
      <c r="N200" s="32"/>
    </row>
    <row r="201" spans="14:14" ht="12.75" customHeight="1" x14ac:dyDescent="0.2">
      <c r="N201" s="32"/>
    </row>
    <row r="202" spans="14:14" ht="12.75" customHeight="1" x14ac:dyDescent="0.2">
      <c r="N202" s="32"/>
    </row>
    <row r="203" spans="14:14" ht="12.75" customHeight="1" x14ac:dyDescent="0.2">
      <c r="N203" s="32"/>
    </row>
    <row r="204" spans="14:14" ht="12.75" customHeight="1" x14ac:dyDescent="0.2">
      <c r="N204" s="32"/>
    </row>
    <row r="205" spans="14:14" ht="12.75" customHeight="1" x14ac:dyDescent="0.2">
      <c r="N205" s="32"/>
    </row>
    <row r="206" spans="14:14" ht="12.75" customHeight="1" x14ac:dyDescent="0.2">
      <c r="N206" s="32"/>
    </row>
    <row r="207" spans="14:14" ht="12.75" customHeight="1" x14ac:dyDescent="0.2">
      <c r="N207" s="32"/>
    </row>
    <row r="208" spans="14:14" ht="12.75" customHeight="1" x14ac:dyDescent="0.2">
      <c r="N208" s="32"/>
    </row>
    <row r="209" spans="14:14" ht="12.75" customHeight="1" x14ac:dyDescent="0.2">
      <c r="N209" s="32"/>
    </row>
    <row r="210" spans="14:14" ht="12.75" customHeight="1" x14ac:dyDescent="0.2">
      <c r="N210" s="32"/>
    </row>
    <row r="211" spans="14:14" ht="12.75" customHeight="1" x14ac:dyDescent="0.2">
      <c r="N211" s="32"/>
    </row>
    <row r="212" spans="14:14" ht="12.75" customHeight="1" x14ac:dyDescent="0.2">
      <c r="N212" s="32"/>
    </row>
    <row r="213" spans="14:14" ht="12.75" customHeight="1" x14ac:dyDescent="0.2">
      <c r="N213" s="32"/>
    </row>
    <row r="214" spans="14:14" ht="12.75" customHeight="1" x14ac:dyDescent="0.2">
      <c r="N214" s="32"/>
    </row>
    <row r="215" spans="14:14" ht="12.75" customHeight="1" x14ac:dyDescent="0.2">
      <c r="N215" s="32"/>
    </row>
    <row r="216" spans="14:14" ht="12.75" customHeight="1" x14ac:dyDescent="0.2">
      <c r="N216" s="32"/>
    </row>
    <row r="217" spans="14:14" ht="12.75" customHeight="1" x14ac:dyDescent="0.2">
      <c r="N217" s="32"/>
    </row>
    <row r="218" spans="14:14" ht="12.75" customHeight="1" x14ac:dyDescent="0.2">
      <c r="N218" s="32"/>
    </row>
    <row r="219" spans="14:14" ht="12.75" customHeight="1" x14ac:dyDescent="0.2">
      <c r="N219" s="32"/>
    </row>
    <row r="220" spans="14:14" ht="12.75" customHeight="1" x14ac:dyDescent="0.2">
      <c r="N220" s="32"/>
    </row>
    <row r="221" spans="14:14" ht="12.75" customHeight="1" x14ac:dyDescent="0.2">
      <c r="N221" s="32"/>
    </row>
    <row r="222" spans="14:14" ht="12.75" customHeight="1" x14ac:dyDescent="0.2">
      <c r="N222" s="32"/>
    </row>
    <row r="223" spans="14:14" ht="12.75" customHeight="1" x14ac:dyDescent="0.2">
      <c r="N223" s="32"/>
    </row>
    <row r="224" spans="14:14" ht="12.75" customHeight="1" x14ac:dyDescent="0.2">
      <c r="N224" s="32"/>
    </row>
    <row r="225" spans="14:14" ht="12.75" customHeight="1" x14ac:dyDescent="0.2">
      <c r="N225" s="32"/>
    </row>
    <row r="226" spans="14:14" ht="12.75" customHeight="1" x14ac:dyDescent="0.2">
      <c r="N226" s="32"/>
    </row>
    <row r="227" spans="14:14" ht="12.75" customHeight="1" x14ac:dyDescent="0.2">
      <c r="N227" s="32"/>
    </row>
    <row r="228" spans="14:14" ht="12.75" customHeight="1" x14ac:dyDescent="0.2">
      <c r="N228" s="32"/>
    </row>
    <row r="229" spans="14:14" ht="12.75" customHeight="1" x14ac:dyDescent="0.2">
      <c r="N229" s="32"/>
    </row>
    <row r="230" spans="14:14" ht="12.75" customHeight="1" x14ac:dyDescent="0.2">
      <c r="N230" s="32"/>
    </row>
    <row r="231" spans="14:14" ht="12.75" customHeight="1" x14ac:dyDescent="0.2">
      <c r="N231" s="32"/>
    </row>
    <row r="232" spans="14:14" ht="12.75" customHeight="1" x14ac:dyDescent="0.2">
      <c r="N232" s="32"/>
    </row>
    <row r="233" spans="14:14" ht="12.75" customHeight="1" x14ac:dyDescent="0.2">
      <c r="N233" s="32"/>
    </row>
    <row r="234" spans="14:14" ht="12.75" customHeight="1" x14ac:dyDescent="0.2">
      <c r="N234" s="32"/>
    </row>
    <row r="235" spans="14:14" ht="12.75" customHeight="1" x14ac:dyDescent="0.2">
      <c r="N235" s="32"/>
    </row>
    <row r="236" spans="14:14" ht="12.75" customHeight="1" x14ac:dyDescent="0.2">
      <c r="N236" s="32"/>
    </row>
    <row r="237" spans="14:14" ht="12.75" customHeight="1" x14ac:dyDescent="0.2">
      <c r="N237" s="32"/>
    </row>
    <row r="238" spans="14:14" ht="12.75" customHeight="1" x14ac:dyDescent="0.2">
      <c r="N238" s="32"/>
    </row>
    <row r="239" spans="14:14" ht="12.75" customHeight="1" x14ac:dyDescent="0.2">
      <c r="N239" s="32"/>
    </row>
    <row r="240" spans="14:14" ht="12.75" customHeight="1" x14ac:dyDescent="0.2">
      <c r="N240" s="32"/>
    </row>
    <row r="241" spans="14:14" ht="12.75" customHeight="1" x14ac:dyDescent="0.2">
      <c r="N241" s="32"/>
    </row>
    <row r="242" spans="14:14" ht="12.75" customHeight="1" x14ac:dyDescent="0.2">
      <c r="N242" s="32"/>
    </row>
    <row r="243" spans="14:14" ht="12.75" customHeight="1" x14ac:dyDescent="0.2">
      <c r="N243" s="32"/>
    </row>
    <row r="244" spans="14:14" ht="12.75" customHeight="1" x14ac:dyDescent="0.2">
      <c r="N244" s="32"/>
    </row>
    <row r="245" spans="14:14" ht="12.75" customHeight="1" x14ac:dyDescent="0.2">
      <c r="N245" s="32"/>
    </row>
    <row r="246" spans="14:14" ht="12.75" customHeight="1" x14ac:dyDescent="0.2">
      <c r="N246" s="32"/>
    </row>
    <row r="247" spans="14:14" ht="12.75" customHeight="1" x14ac:dyDescent="0.2">
      <c r="N247" s="32"/>
    </row>
    <row r="248" spans="14:14" ht="12.75" customHeight="1" x14ac:dyDescent="0.2">
      <c r="N248" s="32"/>
    </row>
    <row r="249" spans="14:14" ht="12.75" customHeight="1" x14ac:dyDescent="0.2">
      <c r="N249" s="32"/>
    </row>
    <row r="250" spans="14:14" ht="12.75" customHeight="1" x14ac:dyDescent="0.2">
      <c r="N250" s="32"/>
    </row>
    <row r="251" spans="14:14" ht="12.75" customHeight="1" x14ac:dyDescent="0.2">
      <c r="N251" s="32"/>
    </row>
    <row r="252" spans="14:14" ht="12.75" customHeight="1" x14ac:dyDescent="0.2">
      <c r="N252" s="32"/>
    </row>
    <row r="253" spans="14:14" ht="12.75" customHeight="1" x14ac:dyDescent="0.2">
      <c r="N253" s="32"/>
    </row>
    <row r="254" spans="14:14" ht="12.75" customHeight="1" x14ac:dyDescent="0.2">
      <c r="N254" s="32"/>
    </row>
    <row r="255" spans="14:14" ht="12.75" customHeight="1" x14ac:dyDescent="0.2">
      <c r="N255" s="32"/>
    </row>
    <row r="256" spans="14:14" ht="12.75" customHeight="1" x14ac:dyDescent="0.2">
      <c r="N256" s="32"/>
    </row>
    <row r="257" spans="14:14" ht="12.75" customHeight="1" x14ac:dyDescent="0.2">
      <c r="N257" s="32"/>
    </row>
    <row r="258" spans="14:14" ht="12.75" customHeight="1" x14ac:dyDescent="0.2">
      <c r="N258" s="32"/>
    </row>
    <row r="259" spans="14:14" ht="12.75" customHeight="1" x14ac:dyDescent="0.2">
      <c r="N259" s="32"/>
    </row>
    <row r="260" spans="14:14" ht="12.75" customHeight="1" x14ac:dyDescent="0.2">
      <c r="N260" s="32"/>
    </row>
    <row r="261" spans="14:14" ht="12.75" customHeight="1" x14ac:dyDescent="0.2">
      <c r="N261" s="32"/>
    </row>
    <row r="262" spans="14:14" ht="12.75" customHeight="1" x14ac:dyDescent="0.2">
      <c r="N262" s="32"/>
    </row>
    <row r="263" spans="14:14" ht="12.75" customHeight="1" x14ac:dyDescent="0.2">
      <c r="N263" s="32"/>
    </row>
    <row r="264" spans="14:14" ht="12.75" customHeight="1" x14ac:dyDescent="0.2">
      <c r="N264" s="32"/>
    </row>
    <row r="265" spans="14:14" ht="12.75" customHeight="1" x14ac:dyDescent="0.2">
      <c r="N265" s="32"/>
    </row>
    <row r="266" spans="14:14" ht="12.75" customHeight="1" x14ac:dyDescent="0.2">
      <c r="N266" s="32"/>
    </row>
    <row r="267" spans="14:14" ht="12.75" customHeight="1" x14ac:dyDescent="0.2">
      <c r="N267" s="32"/>
    </row>
    <row r="268" spans="14:14" ht="12.75" customHeight="1" x14ac:dyDescent="0.2">
      <c r="N268" s="32"/>
    </row>
    <row r="269" spans="14:14" ht="12.75" customHeight="1" x14ac:dyDescent="0.2">
      <c r="N269" s="32"/>
    </row>
    <row r="270" spans="14:14" ht="12.75" customHeight="1" x14ac:dyDescent="0.2">
      <c r="N270" s="32"/>
    </row>
    <row r="271" spans="14:14" ht="12.75" customHeight="1" x14ac:dyDescent="0.2">
      <c r="N271" s="32"/>
    </row>
    <row r="272" spans="14:14" ht="12.75" customHeight="1" x14ac:dyDescent="0.2">
      <c r="N272" s="32"/>
    </row>
    <row r="273" spans="14:14" ht="12.75" customHeight="1" x14ac:dyDescent="0.2">
      <c r="N273" s="32"/>
    </row>
    <row r="274" spans="14:14" ht="12.75" customHeight="1" x14ac:dyDescent="0.2">
      <c r="N274" s="32"/>
    </row>
    <row r="275" spans="14:14" ht="12.75" customHeight="1" x14ac:dyDescent="0.2">
      <c r="N275" s="32"/>
    </row>
    <row r="276" spans="14:14" ht="12.75" customHeight="1" x14ac:dyDescent="0.2">
      <c r="N276" s="32"/>
    </row>
    <row r="277" spans="14:14" ht="12.75" customHeight="1" x14ac:dyDescent="0.2">
      <c r="N277" s="32"/>
    </row>
    <row r="278" spans="14:14" ht="12.75" customHeight="1" x14ac:dyDescent="0.2">
      <c r="N278" s="32"/>
    </row>
    <row r="279" spans="14:14" ht="12.75" customHeight="1" x14ac:dyDescent="0.2">
      <c r="N279" s="32"/>
    </row>
    <row r="280" spans="14:14" ht="12.75" customHeight="1" x14ac:dyDescent="0.2">
      <c r="N280" s="32"/>
    </row>
    <row r="281" spans="14:14" ht="12.75" customHeight="1" x14ac:dyDescent="0.2">
      <c r="N281" s="32"/>
    </row>
    <row r="282" spans="14:14" ht="12.75" customHeight="1" x14ac:dyDescent="0.2">
      <c r="N282" s="32"/>
    </row>
    <row r="283" spans="14:14" ht="12.75" customHeight="1" x14ac:dyDescent="0.2">
      <c r="N283" s="32"/>
    </row>
    <row r="284" spans="14:14" ht="12.75" customHeight="1" x14ac:dyDescent="0.2">
      <c r="N284" s="32"/>
    </row>
    <row r="285" spans="14:14" ht="12.75" customHeight="1" x14ac:dyDescent="0.2">
      <c r="N285" s="32"/>
    </row>
    <row r="286" spans="14:14" ht="12.75" customHeight="1" x14ac:dyDescent="0.2">
      <c r="N286" s="32"/>
    </row>
    <row r="287" spans="14:14" ht="12.75" customHeight="1" x14ac:dyDescent="0.2">
      <c r="N287" s="32"/>
    </row>
    <row r="288" spans="14:14" ht="12.75" customHeight="1" x14ac:dyDescent="0.2">
      <c r="N288" s="32"/>
    </row>
    <row r="289" spans="14:14" ht="12.75" customHeight="1" x14ac:dyDescent="0.2">
      <c r="N289" s="32"/>
    </row>
    <row r="290" spans="14:14" ht="12.75" customHeight="1" x14ac:dyDescent="0.2">
      <c r="N290" s="32"/>
    </row>
    <row r="291" spans="14:14" ht="12.75" customHeight="1" x14ac:dyDescent="0.2">
      <c r="N291" s="32"/>
    </row>
    <row r="292" spans="14:14" ht="12.75" customHeight="1" x14ac:dyDescent="0.2">
      <c r="N292" s="32"/>
    </row>
    <row r="293" spans="14:14" ht="12.75" customHeight="1" x14ac:dyDescent="0.2">
      <c r="N293" s="32"/>
    </row>
    <row r="294" spans="14:14" ht="12.75" customHeight="1" x14ac:dyDescent="0.2">
      <c r="N294" s="32"/>
    </row>
    <row r="295" spans="14:14" ht="12.75" customHeight="1" x14ac:dyDescent="0.2">
      <c r="N295" s="32"/>
    </row>
    <row r="296" spans="14:14" ht="12.75" customHeight="1" x14ac:dyDescent="0.2">
      <c r="N296" s="32"/>
    </row>
    <row r="297" spans="14:14" ht="12.75" customHeight="1" x14ac:dyDescent="0.2">
      <c r="N297" s="32"/>
    </row>
    <row r="298" spans="14:14" ht="12.75" customHeight="1" x14ac:dyDescent="0.2">
      <c r="N298" s="32"/>
    </row>
    <row r="299" spans="14:14" ht="12.75" customHeight="1" x14ac:dyDescent="0.2">
      <c r="N299" s="32"/>
    </row>
    <row r="300" spans="14:14" ht="12.75" customHeight="1" x14ac:dyDescent="0.2">
      <c r="N300" s="32"/>
    </row>
    <row r="301" spans="14:14" ht="12.75" customHeight="1" x14ac:dyDescent="0.2">
      <c r="N301" s="32"/>
    </row>
    <row r="302" spans="14:14" ht="12.75" customHeight="1" x14ac:dyDescent="0.2">
      <c r="N302" s="32"/>
    </row>
    <row r="303" spans="14:14" ht="12.75" customHeight="1" x14ac:dyDescent="0.2">
      <c r="N303" s="32"/>
    </row>
    <row r="304" spans="14:14" ht="12.75" customHeight="1" x14ac:dyDescent="0.2">
      <c r="N304" s="32"/>
    </row>
    <row r="305" spans="14:14" ht="12.75" customHeight="1" x14ac:dyDescent="0.2">
      <c r="N305" s="32"/>
    </row>
    <row r="306" spans="14:14" ht="12.75" customHeight="1" x14ac:dyDescent="0.2">
      <c r="N306" s="32"/>
    </row>
    <row r="307" spans="14:14" ht="12.75" customHeight="1" x14ac:dyDescent="0.2">
      <c r="N307" s="32"/>
    </row>
    <row r="308" spans="14:14" ht="12.75" customHeight="1" x14ac:dyDescent="0.2">
      <c r="N308" s="32"/>
    </row>
    <row r="309" spans="14:14" ht="12.75" customHeight="1" x14ac:dyDescent="0.2">
      <c r="N309" s="32"/>
    </row>
    <row r="310" spans="14:14" ht="12.75" customHeight="1" x14ac:dyDescent="0.2">
      <c r="N310" s="32"/>
    </row>
    <row r="311" spans="14:14" ht="12.75" customHeight="1" x14ac:dyDescent="0.2">
      <c r="N311" s="32"/>
    </row>
    <row r="312" spans="14:14" ht="12.75" customHeight="1" x14ac:dyDescent="0.2">
      <c r="N312" s="32"/>
    </row>
    <row r="313" spans="14:14" ht="12.75" customHeight="1" x14ac:dyDescent="0.2">
      <c r="N313" s="32"/>
    </row>
    <row r="314" spans="14:14" ht="12.75" customHeight="1" x14ac:dyDescent="0.2">
      <c r="N314" s="32"/>
    </row>
    <row r="315" spans="14:14" ht="12.75" customHeight="1" x14ac:dyDescent="0.2">
      <c r="N315" s="32"/>
    </row>
    <row r="316" spans="14:14" ht="12.75" customHeight="1" x14ac:dyDescent="0.2">
      <c r="N316" s="32"/>
    </row>
    <row r="317" spans="14:14" ht="12.75" customHeight="1" x14ac:dyDescent="0.2">
      <c r="N317" s="32"/>
    </row>
    <row r="318" spans="14:14" ht="12.75" customHeight="1" x14ac:dyDescent="0.2">
      <c r="N318" s="32"/>
    </row>
    <row r="319" spans="14:14" ht="12.75" customHeight="1" x14ac:dyDescent="0.2">
      <c r="N319" s="32"/>
    </row>
    <row r="320" spans="14:14" ht="12.75" customHeight="1" x14ac:dyDescent="0.2">
      <c r="N320" s="32"/>
    </row>
    <row r="321" spans="14:14" ht="12.75" customHeight="1" x14ac:dyDescent="0.2">
      <c r="N321" s="32"/>
    </row>
    <row r="322" spans="14:14" ht="12.75" customHeight="1" x14ac:dyDescent="0.2">
      <c r="N322" s="32"/>
    </row>
    <row r="323" spans="14:14" ht="12.75" customHeight="1" x14ac:dyDescent="0.2">
      <c r="N323" s="32"/>
    </row>
    <row r="324" spans="14:14" ht="12.75" customHeight="1" x14ac:dyDescent="0.2">
      <c r="N324" s="32"/>
    </row>
    <row r="325" spans="14:14" ht="12.75" customHeight="1" x14ac:dyDescent="0.2">
      <c r="N325" s="32"/>
    </row>
    <row r="326" spans="14:14" ht="12.75" customHeight="1" x14ac:dyDescent="0.2">
      <c r="N326" s="32"/>
    </row>
    <row r="327" spans="14:14" ht="12.75" customHeight="1" x14ac:dyDescent="0.2">
      <c r="N327" s="32"/>
    </row>
    <row r="328" spans="14:14" ht="12.75" customHeight="1" x14ac:dyDescent="0.2">
      <c r="N328" s="32"/>
    </row>
    <row r="329" spans="14:14" ht="12.75" customHeight="1" x14ac:dyDescent="0.2">
      <c r="N329" s="32"/>
    </row>
    <row r="330" spans="14:14" ht="12.75" customHeight="1" x14ac:dyDescent="0.2">
      <c r="N330" s="32"/>
    </row>
    <row r="331" spans="14:14" ht="12.75" customHeight="1" x14ac:dyDescent="0.2">
      <c r="N331" s="32"/>
    </row>
    <row r="332" spans="14:14" ht="12.75" customHeight="1" x14ac:dyDescent="0.2">
      <c r="N332" s="32"/>
    </row>
    <row r="333" spans="14:14" ht="12.75" customHeight="1" x14ac:dyDescent="0.2">
      <c r="N333" s="32"/>
    </row>
    <row r="334" spans="14:14" ht="12.75" customHeight="1" x14ac:dyDescent="0.2">
      <c r="N334" s="32"/>
    </row>
    <row r="335" spans="14:14" ht="12.75" customHeight="1" x14ac:dyDescent="0.2">
      <c r="N335" s="32"/>
    </row>
    <row r="336" spans="14:14" ht="12.75" customHeight="1" x14ac:dyDescent="0.2">
      <c r="N336" s="32"/>
    </row>
    <row r="337" spans="14:14" ht="12.75" customHeight="1" x14ac:dyDescent="0.2">
      <c r="N337" s="32"/>
    </row>
    <row r="338" spans="14:14" ht="12.75" customHeight="1" x14ac:dyDescent="0.2">
      <c r="N338" s="32"/>
    </row>
    <row r="339" spans="14:14" ht="12.75" customHeight="1" x14ac:dyDescent="0.2">
      <c r="N339" s="32"/>
    </row>
    <row r="340" spans="14:14" ht="12.75" customHeight="1" x14ac:dyDescent="0.2">
      <c r="N340" s="32"/>
    </row>
    <row r="341" spans="14:14" ht="12.75" customHeight="1" x14ac:dyDescent="0.2">
      <c r="N341" s="32"/>
    </row>
    <row r="342" spans="14:14" ht="12.75" customHeight="1" x14ac:dyDescent="0.2">
      <c r="N342" s="32"/>
    </row>
    <row r="343" spans="14:14" ht="12.75" customHeight="1" x14ac:dyDescent="0.2">
      <c r="N343" s="32"/>
    </row>
    <row r="344" spans="14:14" ht="12.75" customHeight="1" x14ac:dyDescent="0.2">
      <c r="N344" s="32"/>
    </row>
    <row r="345" spans="14:14" ht="12.75" customHeight="1" x14ac:dyDescent="0.2">
      <c r="N345" s="32"/>
    </row>
    <row r="346" spans="14:14" ht="12.75" customHeight="1" x14ac:dyDescent="0.2">
      <c r="N346" s="32"/>
    </row>
    <row r="347" spans="14:14" ht="12.75" customHeight="1" x14ac:dyDescent="0.2">
      <c r="N347" s="32"/>
    </row>
    <row r="348" spans="14:14" ht="12.75" customHeight="1" x14ac:dyDescent="0.2">
      <c r="N348" s="32"/>
    </row>
    <row r="349" spans="14:14" ht="12.75" customHeight="1" x14ac:dyDescent="0.2">
      <c r="N349" s="32"/>
    </row>
    <row r="350" spans="14:14" ht="12.75" customHeight="1" x14ac:dyDescent="0.2">
      <c r="N350" s="32"/>
    </row>
    <row r="351" spans="14:14" ht="12.75" customHeight="1" x14ac:dyDescent="0.2">
      <c r="N351" s="32"/>
    </row>
    <row r="352" spans="14:14" ht="12.75" customHeight="1" x14ac:dyDescent="0.2">
      <c r="N352" s="32"/>
    </row>
    <row r="353" spans="14:14" ht="12.75" customHeight="1" x14ac:dyDescent="0.2">
      <c r="N353" s="32"/>
    </row>
    <row r="354" spans="14:14" ht="12.75" customHeight="1" x14ac:dyDescent="0.2">
      <c r="N354" s="32"/>
    </row>
    <row r="355" spans="14:14" ht="12.75" customHeight="1" x14ac:dyDescent="0.2">
      <c r="N355" s="32"/>
    </row>
    <row r="356" spans="14:14" ht="12.75" customHeight="1" x14ac:dyDescent="0.2">
      <c r="N356" s="32"/>
    </row>
    <row r="357" spans="14:14" ht="12.75" customHeight="1" x14ac:dyDescent="0.2">
      <c r="N357" s="32"/>
    </row>
    <row r="358" spans="14:14" ht="12.75" customHeight="1" x14ac:dyDescent="0.2">
      <c r="N358" s="32"/>
    </row>
    <row r="359" spans="14:14" ht="12.75" customHeight="1" x14ac:dyDescent="0.2">
      <c r="N359" s="32"/>
    </row>
    <row r="360" spans="14:14" ht="12.75" customHeight="1" x14ac:dyDescent="0.2">
      <c r="N360" s="32"/>
    </row>
    <row r="361" spans="14:14" ht="12.75" customHeight="1" x14ac:dyDescent="0.2">
      <c r="N361" s="32"/>
    </row>
    <row r="362" spans="14:14" ht="12.75" customHeight="1" x14ac:dyDescent="0.2">
      <c r="N362" s="32"/>
    </row>
    <row r="363" spans="14:14" ht="12.75" customHeight="1" x14ac:dyDescent="0.2">
      <c r="N363" s="32"/>
    </row>
    <row r="364" spans="14:14" ht="12.75" customHeight="1" x14ac:dyDescent="0.2">
      <c r="N364" s="32"/>
    </row>
    <row r="365" spans="14:14" ht="12.75" customHeight="1" x14ac:dyDescent="0.2">
      <c r="N365" s="32"/>
    </row>
    <row r="366" spans="14:14" ht="12.75" customHeight="1" x14ac:dyDescent="0.2">
      <c r="N366" s="32"/>
    </row>
    <row r="367" spans="14:14" ht="12.75" customHeight="1" x14ac:dyDescent="0.2">
      <c r="N367" s="32"/>
    </row>
    <row r="368" spans="14:14" ht="12.75" customHeight="1" x14ac:dyDescent="0.2">
      <c r="N368" s="32"/>
    </row>
    <row r="369" spans="14:14" ht="12.75" customHeight="1" x14ac:dyDescent="0.2">
      <c r="N369" s="32"/>
    </row>
    <row r="370" spans="14:14" ht="12.75" customHeight="1" x14ac:dyDescent="0.2">
      <c r="N370" s="32"/>
    </row>
    <row r="371" spans="14:14" ht="12.75" customHeight="1" x14ac:dyDescent="0.2">
      <c r="N371" s="32"/>
    </row>
    <row r="372" spans="14:14" ht="12.75" customHeight="1" x14ac:dyDescent="0.2">
      <c r="N372" s="32"/>
    </row>
    <row r="373" spans="14:14" ht="12.75" customHeight="1" x14ac:dyDescent="0.2">
      <c r="N373" s="32"/>
    </row>
    <row r="374" spans="14:14" ht="12.75" customHeight="1" x14ac:dyDescent="0.2">
      <c r="N374" s="32"/>
    </row>
    <row r="375" spans="14:14" ht="12.75" customHeight="1" x14ac:dyDescent="0.2">
      <c r="N375" s="32"/>
    </row>
    <row r="376" spans="14:14" ht="12.75" customHeight="1" x14ac:dyDescent="0.2">
      <c r="N376" s="32"/>
    </row>
    <row r="377" spans="14:14" ht="12.75" customHeight="1" x14ac:dyDescent="0.2">
      <c r="N377" s="32"/>
    </row>
    <row r="378" spans="14:14" ht="12.75" customHeight="1" x14ac:dyDescent="0.2">
      <c r="N378" s="32"/>
    </row>
    <row r="379" spans="14:14" ht="12.75" customHeight="1" x14ac:dyDescent="0.2">
      <c r="N379" s="32"/>
    </row>
    <row r="380" spans="14:14" ht="12.75" customHeight="1" x14ac:dyDescent="0.2">
      <c r="N380" s="32"/>
    </row>
    <row r="381" spans="14:14" ht="12.75" customHeight="1" x14ac:dyDescent="0.2">
      <c r="N381" s="32"/>
    </row>
    <row r="382" spans="14:14" ht="12.75" customHeight="1" x14ac:dyDescent="0.2">
      <c r="N382" s="32"/>
    </row>
    <row r="383" spans="14:14" ht="12.75" customHeight="1" x14ac:dyDescent="0.2">
      <c r="N383" s="32"/>
    </row>
    <row r="384" spans="14:14" ht="12.75" customHeight="1" x14ac:dyDescent="0.2">
      <c r="N384" s="32"/>
    </row>
    <row r="385" spans="14:14" ht="12.75" customHeight="1" x14ac:dyDescent="0.2">
      <c r="N385" s="32"/>
    </row>
    <row r="386" spans="14:14" ht="12.75" customHeight="1" x14ac:dyDescent="0.2">
      <c r="N386" s="32"/>
    </row>
    <row r="387" spans="14:14" ht="12.75" customHeight="1" x14ac:dyDescent="0.2">
      <c r="N387" s="32"/>
    </row>
    <row r="388" spans="14:14" ht="12.75" customHeight="1" x14ac:dyDescent="0.2">
      <c r="N388" s="32"/>
    </row>
    <row r="389" spans="14:14" ht="12.75" customHeight="1" x14ac:dyDescent="0.2">
      <c r="N389" s="32"/>
    </row>
    <row r="390" spans="14:14" ht="12.75" customHeight="1" x14ac:dyDescent="0.2">
      <c r="N390" s="32"/>
    </row>
    <row r="391" spans="14:14" ht="12.75" customHeight="1" x14ac:dyDescent="0.2">
      <c r="N391" s="32"/>
    </row>
    <row r="392" spans="14:14" ht="12.75" customHeight="1" x14ac:dyDescent="0.2">
      <c r="N392" s="32"/>
    </row>
    <row r="393" spans="14:14" ht="12.75" customHeight="1" x14ac:dyDescent="0.2">
      <c r="N393" s="32"/>
    </row>
    <row r="394" spans="14:14" ht="12.75" customHeight="1" x14ac:dyDescent="0.2">
      <c r="N394" s="32"/>
    </row>
    <row r="395" spans="14:14" ht="12.75" customHeight="1" x14ac:dyDescent="0.2">
      <c r="N395" s="32"/>
    </row>
    <row r="396" spans="14:14" ht="12.75" customHeight="1" x14ac:dyDescent="0.2">
      <c r="N396" s="32"/>
    </row>
    <row r="397" spans="14:14" ht="12.75" customHeight="1" x14ac:dyDescent="0.2">
      <c r="N397" s="32"/>
    </row>
    <row r="398" spans="14:14" ht="12.75" customHeight="1" x14ac:dyDescent="0.2">
      <c r="N398" s="32"/>
    </row>
    <row r="399" spans="14:14" ht="12.75" customHeight="1" x14ac:dyDescent="0.2">
      <c r="N399" s="32"/>
    </row>
    <row r="400" spans="14:14" ht="12.75" customHeight="1" x14ac:dyDescent="0.2">
      <c r="N400" s="32"/>
    </row>
    <row r="401" spans="14:14" ht="12.75" customHeight="1" x14ac:dyDescent="0.2">
      <c r="N401" s="32"/>
    </row>
    <row r="402" spans="14:14" ht="12.75" customHeight="1" x14ac:dyDescent="0.2">
      <c r="N402" s="32"/>
    </row>
    <row r="403" spans="14:14" ht="12.75" customHeight="1" x14ac:dyDescent="0.2">
      <c r="N403" s="32"/>
    </row>
    <row r="404" spans="14:14" ht="12.75" customHeight="1" x14ac:dyDescent="0.2">
      <c r="N404" s="32"/>
    </row>
    <row r="405" spans="14:14" ht="12.75" customHeight="1" x14ac:dyDescent="0.2">
      <c r="N405" s="32"/>
    </row>
    <row r="406" spans="14:14" ht="12.75" customHeight="1" x14ac:dyDescent="0.2">
      <c r="N406" s="32"/>
    </row>
    <row r="407" spans="14:14" ht="12.75" customHeight="1" x14ac:dyDescent="0.2">
      <c r="N407" s="32"/>
    </row>
    <row r="408" spans="14:14" ht="12.75" customHeight="1" x14ac:dyDescent="0.2">
      <c r="N408" s="32"/>
    </row>
    <row r="409" spans="14:14" ht="12.75" customHeight="1" x14ac:dyDescent="0.2">
      <c r="N409" s="32"/>
    </row>
    <row r="410" spans="14:14" ht="12.75" customHeight="1" x14ac:dyDescent="0.2">
      <c r="N410" s="32"/>
    </row>
    <row r="411" spans="14:14" ht="12.75" customHeight="1" x14ac:dyDescent="0.2">
      <c r="N411" s="32"/>
    </row>
    <row r="412" spans="14:14" ht="12.75" customHeight="1" x14ac:dyDescent="0.2">
      <c r="N412" s="32"/>
    </row>
    <row r="413" spans="14:14" ht="12.75" customHeight="1" x14ac:dyDescent="0.2">
      <c r="N413" s="32"/>
    </row>
    <row r="414" spans="14:14" ht="12.75" customHeight="1" x14ac:dyDescent="0.2">
      <c r="N414" s="32"/>
    </row>
    <row r="415" spans="14:14" ht="12.75" customHeight="1" x14ac:dyDescent="0.2">
      <c r="N415" s="32"/>
    </row>
    <row r="416" spans="14:14" ht="12.75" customHeight="1" x14ac:dyDescent="0.2">
      <c r="N416" s="32"/>
    </row>
    <row r="417" spans="14:14" ht="12.75" customHeight="1" x14ac:dyDescent="0.2">
      <c r="N417" s="32"/>
    </row>
    <row r="418" spans="14:14" ht="12.75" customHeight="1" x14ac:dyDescent="0.2">
      <c r="N418" s="32"/>
    </row>
    <row r="419" spans="14:14" ht="12.75" customHeight="1" x14ac:dyDescent="0.2">
      <c r="N419" s="32"/>
    </row>
    <row r="420" spans="14:14" ht="12.75" customHeight="1" x14ac:dyDescent="0.2">
      <c r="N420" s="32"/>
    </row>
    <row r="421" spans="14:14" ht="12.75" customHeight="1" x14ac:dyDescent="0.2">
      <c r="N421" s="32"/>
    </row>
    <row r="422" spans="14:14" ht="12.75" customHeight="1" x14ac:dyDescent="0.2">
      <c r="N422" s="32"/>
    </row>
    <row r="423" spans="14:14" ht="12.75" customHeight="1" x14ac:dyDescent="0.2">
      <c r="N423" s="32"/>
    </row>
    <row r="424" spans="14:14" ht="12.75" customHeight="1" x14ac:dyDescent="0.2">
      <c r="N424" s="32"/>
    </row>
    <row r="425" spans="14:14" ht="12.75" customHeight="1" x14ac:dyDescent="0.2">
      <c r="N425" s="32"/>
    </row>
    <row r="426" spans="14:14" ht="12.75" customHeight="1" x14ac:dyDescent="0.2">
      <c r="N426" s="32"/>
    </row>
    <row r="427" spans="14:14" ht="12.75" customHeight="1" x14ac:dyDescent="0.2">
      <c r="N427" s="32"/>
    </row>
    <row r="428" spans="14:14" ht="12.75" customHeight="1" x14ac:dyDescent="0.2">
      <c r="N428" s="32"/>
    </row>
    <row r="429" spans="14:14" ht="12.75" customHeight="1" x14ac:dyDescent="0.2">
      <c r="N429" s="32"/>
    </row>
    <row r="430" spans="14:14" ht="12.75" customHeight="1" x14ac:dyDescent="0.2">
      <c r="N430" s="32"/>
    </row>
    <row r="431" spans="14:14" ht="12.75" customHeight="1" x14ac:dyDescent="0.2">
      <c r="N431" s="32"/>
    </row>
    <row r="432" spans="14:14" ht="12.75" customHeight="1" x14ac:dyDescent="0.2">
      <c r="N432" s="32"/>
    </row>
    <row r="433" spans="14:14" ht="12.75" customHeight="1" x14ac:dyDescent="0.2">
      <c r="N433" s="32"/>
    </row>
    <row r="434" spans="14:14" ht="12.75" customHeight="1" x14ac:dyDescent="0.2">
      <c r="N434" s="32"/>
    </row>
    <row r="435" spans="14:14" ht="12.75" customHeight="1" x14ac:dyDescent="0.2">
      <c r="N435" s="32"/>
    </row>
    <row r="436" spans="14:14" ht="12.75" customHeight="1" x14ac:dyDescent="0.2">
      <c r="N436" s="32"/>
    </row>
    <row r="437" spans="14:14" ht="12.75" customHeight="1" x14ac:dyDescent="0.2">
      <c r="N437" s="32"/>
    </row>
    <row r="438" spans="14:14" ht="12.75" customHeight="1" x14ac:dyDescent="0.2">
      <c r="N438" s="32"/>
    </row>
    <row r="439" spans="14:14" ht="12.75" customHeight="1" x14ac:dyDescent="0.2">
      <c r="N439" s="32"/>
    </row>
    <row r="440" spans="14:14" ht="12.75" customHeight="1" x14ac:dyDescent="0.2">
      <c r="N440" s="32"/>
    </row>
    <row r="441" spans="14:14" ht="12.75" customHeight="1" x14ac:dyDescent="0.2">
      <c r="N441" s="32"/>
    </row>
    <row r="442" spans="14:14" ht="12.75" customHeight="1" x14ac:dyDescent="0.2">
      <c r="N442" s="32"/>
    </row>
    <row r="443" spans="14:14" ht="12.75" customHeight="1" x14ac:dyDescent="0.2">
      <c r="N443" s="32"/>
    </row>
    <row r="444" spans="14:14" ht="12.75" customHeight="1" x14ac:dyDescent="0.2">
      <c r="N444" s="32"/>
    </row>
    <row r="445" spans="14:14" ht="12.75" customHeight="1" x14ac:dyDescent="0.2">
      <c r="N445" s="32"/>
    </row>
    <row r="446" spans="14:14" ht="12.75" customHeight="1" x14ac:dyDescent="0.2">
      <c r="N446" s="32"/>
    </row>
    <row r="447" spans="14:14" ht="12.75" customHeight="1" x14ac:dyDescent="0.2">
      <c r="N447" s="32"/>
    </row>
    <row r="448" spans="14:14" ht="12.75" customHeight="1" x14ac:dyDescent="0.2">
      <c r="N448" s="32"/>
    </row>
    <row r="449" spans="14:14" ht="12.75" customHeight="1" x14ac:dyDescent="0.2">
      <c r="N449" s="32"/>
    </row>
    <row r="450" spans="14:14" ht="12.75" customHeight="1" x14ac:dyDescent="0.2">
      <c r="N450" s="32"/>
    </row>
    <row r="451" spans="14:14" ht="12.75" customHeight="1" x14ac:dyDescent="0.2">
      <c r="N451" s="32"/>
    </row>
    <row r="452" spans="14:14" ht="12.75" customHeight="1" x14ac:dyDescent="0.2">
      <c r="N452" s="32"/>
    </row>
    <row r="453" spans="14:14" ht="12.75" customHeight="1" x14ac:dyDescent="0.2">
      <c r="N453" s="32"/>
    </row>
    <row r="454" spans="14:14" ht="12.75" customHeight="1" x14ac:dyDescent="0.2">
      <c r="N454" s="32"/>
    </row>
    <row r="455" spans="14:14" ht="12.75" customHeight="1" x14ac:dyDescent="0.2">
      <c r="N455" s="32"/>
    </row>
    <row r="456" spans="14:14" ht="12.75" customHeight="1" x14ac:dyDescent="0.2">
      <c r="N456" s="32"/>
    </row>
    <row r="457" spans="14:14" ht="12.75" customHeight="1" x14ac:dyDescent="0.2">
      <c r="N457" s="32"/>
    </row>
    <row r="458" spans="14:14" ht="12.75" customHeight="1" x14ac:dyDescent="0.2">
      <c r="N458" s="32"/>
    </row>
    <row r="459" spans="14:14" ht="12.75" customHeight="1" x14ac:dyDescent="0.2">
      <c r="N459" s="32"/>
    </row>
    <row r="460" spans="14:14" ht="12.75" customHeight="1" x14ac:dyDescent="0.2">
      <c r="N460" s="32"/>
    </row>
    <row r="461" spans="14:14" ht="12.75" customHeight="1" x14ac:dyDescent="0.2">
      <c r="N461" s="32"/>
    </row>
    <row r="462" spans="14:14" ht="12.75" customHeight="1" x14ac:dyDescent="0.2">
      <c r="N462" s="32"/>
    </row>
    <row r="463" spans="14:14" ht="12.75" customHeight="1" x14ac:dyDescent="0.2">
      <c r="N463" s="32"/>
    </row>
    <row r="464" spans="14:14" ht="12.75" customHeight="1" x14ac:dyDescent="0.2">
      <c r="N464" s="32"/>
    </row>
    <row r="465" spans="14:14" ht="12.75" customHeight="1" x14ac:dyDescent="0.2">
      <c r="N465" s="32"/>
    </row>
    <row r="466" spans="14:14" ht="12.75" customHeight="1" x14ac:dyDescent="0.2">
      <c r="N466" s="32"/>
    </row>
    <row r="467" spans="14:14" ht="12.75" customHeight="1" x14ac:dyDescent="0.2">
      <c r="N467" s="32"/>
    </row>
    <row r="468" spans="14:14" ht="12.75" customHeight="1" x14ac:dyDescent="0.2">
      <c r="N468" s="32"/>
    </row>
    <row r="469" spans="14:14" ht="12.75" customHeight="1" x14ac:dyDescent="0.2">
      <c r="N469" s="32"/>
    </row>
    <row r="470" spans="14:14" ht="12.75" customHeight="1" x14ac:dyDescent="0.2">
      <c r="N470" s="32"/>
    </row>
    <row r="471" spans="14:14" ht="12.75" customHeight="1" x14ac:dyDescent="0.2">
      <c r="N471" s="32"/>
    </row>
    <row r="472" spans="14:14" ht="12.75" customHeight="1" x14ac:dyDescent="0.2">
      <c r="N472" s="32"/>
    </row>
    <row r="473" spans="14:14" ht="12.75" customHeight="1" x14ac:dyDescent="0.2">
      <c r="N473" s="32"/>
    </row>
    <row r="474" spans="14:14" ht="12.75" customHeight="1" x14ac:dyDescent="0.2">
      <c r="N474" s="32"/>
    </row>
    <row r="475" spans="14:14" ht="12.75" customHeight="1" x14ac:dyDescent="0.2">
      <c r="N475" s="32"/>
    </row>
    <row r="476" spans="14:14" ht="12.75" customHeight="1" x14ac:dyDescent="0.2">
      <c r="N476" s="32"/>
    </row>
    <row r="477" spans="14:14" ht="12.75" customHeight="1" x14ac:dyDescent="0.2">
      <c r="N477" s="32"/>
    </row>
    <row r="478" spans="14:14" ht="12.75" customHeight="1" x14ac:dyDescent="0.2">
      <c r="N478" s="32"/>
    </row>
    <row r="479" spans="14:14" ht="12.75" customHeight="1" x14ac:dyDescent="0.2">
      <c r="N479" s="32"/>
    </row>
    <row r="480" spans="14:14" ht="12.75" customHeight="1" x14ac:dyDescent="0.2">
      <c r="N480" s="32"/>
    </row>
    <row r="481" spans="14:14" ht="12.75" customHeight="1" x14ac:dyDescent="0.2">
      <c r="N481" s="32"/>
    </row>
    <row r="482" spans="14:14" ht="12.75" customHeight="1" x14ac:dyDescent="0.2">
      <c r="N482" s="32"/>
    </row>
    <row r="483" spans="14:14" ht="12.75" customHeight="1" x14ac:dyDescent="0.2">
      <c r="N483" s="32"/>
    </row>
    <row r="484" spans="14:14" ht="12.75" customHeight="1" x14ac:dyDescent="0.2">
      <c r="N484" s="32"/>
    </row>
    <row r="485" spans="14:14" ht="12.75" customHeight="1" x14ac:dyDescent="0.2">
      <c r="N485" s="32"/>
    </row>
    <row r="486" spans="14:14" ht="12.75" customHeight="1" x14ac:dyDescent="0.2">
      <c r="N486" s="32"/>
    </row>
    <row r="487" spans="14:14" ht="12.75" customHeight="1" x14ac:dyDescent="0.2">
      <c r="N487" s="32"/>
    </row>
    <row r="488" spans="14:14" ht="12.75" customHeight="1" x14ac:dyDescent="0.2">
      <c r="N488" s="32"/>
    </row>
    <row r="489" spans="14:14" ht="12.75" customHeight="1" x14ac:dyDescent="0.2">
      <c r="N489" s="32"/>
    </row>
    <row r="490" spans="14:14" ht="12.75" customHeight="1" x14ac:dyDescent="0.2">
      <c r="N490" s="32"/>
    </row>
    <row r="491" spans="14:14" ht="12.75" customHeight="1" x14ac:dyDescent="0.2">
      <c r="N491" s="32"/>
    </row>
    <row r="492" spans="14:14" ht="12.75" customHeight="1" x14ac:dyDescent="0.2">
      <c r="N492" s="32"/>
    </row>
    <row r="493" spans="14:14" ht="12.75" customHeight="1" x14ac:dyDescent="0.2">
      <c r="N493" s="32"/>
    </row>
    <row r="494" spans="14:14" ht="12.75" customHeight="1" x14ac:dyDescent="0.2">
      <c r="N494" s="32"/>
    </row>
    <row r="495" spans="14:14" ht="12.75" customHeight="1" x14ac:dyDescent="0.2">
      <c r="N495" s="32"/>
    </row>
    <row r="496" spans="14:14" ht="12.75" customHeight="1" x14ac:dyDescent="0.2">
      <c r="N496" s="32"/>
    </row>
    <row r="497" spans="14:14" ht="12.75" customHeight="1" x14ac:dyDescent="0.2">
      <c r="N497" s="32"/>
    </row>
    <row r="498" spans="14:14" ht="12.75" customHeight="1" x14ac:dyDescent="0.2">
      <c r="N498" s="32"/>
    </row>
    <row r="499" spans="14:14" ht="12.75" customHeight="1" x14ac:dyDescent="0.2">
      <c r="N499" s="32"/>
    </row>
    <row r="500" spans="14:14" ht="12.75" customHeight="1" x14ac:dyDescent="0.2">
      <c r="N500" s="32"/>
    </row>
    <row r="501" spans="14:14" ht="12.75" customHeight="1" x14ac:dyDescent="0.2">
      <c r="N501" s="32"/>
    </row>
    <row r="502" spans="14:14" ht="12.75" customHeight="1" x14ac:dyDescent="0.2">
      <c r="N502" s="32"/>
    </row>
    <row r="503" spans="14:14" ht="12.75" customHeight="1" x14ac:dyDescent="0.2">
      <c r="N503" s="32"/>
    </row>
    <row r="504" spans="14:14" ht="12.75" customHeight="1" x14ac:dyDescent="0.2">
      <c r="N504" s="32"/>
    </row>
    <row r="505" spans="14:14" ht="12.75" customHeight="1" x14ac:dyDescent="0.2">
      <c r="N505" s="32"/>
    </row>
    <row r="506" spans="14:14" ht="12.75" customHeight="1" x14ac:dyDescent="0.2">
      <c r="N506" s="32"/>
    </row>
    <row r="507" spans="14:14" ht="12.75" customHeight="1" x14ac:dyDescent="0.2">
      <c r="N507" s="32"/>
    </row>
    <row r="508" spans="14:14" ht="12.75" customHeight="1" x14ac:dyDescent="0.2">
      <c r="N508" s="32"/>
    </row>
    <row r="509" spans="14:14" ht="12.75" customHeight="1" x14ac:dyDescent="0.2">
      <c r="N509" s="32"/>
    </row>
    <row r="510" spans="14:14" ht="12.75" customHeight="1" x14ac:dyDescent="0.2">
      <c r="N510" s="32"/>
    </row>
    <row r="511" spans="14:14" ht="12.75" customHeight="1" x14ac:dyDescent="0.2">
      <c r="N511" s="32"/>
    </row>
    <row r="512" spans="14:14" ht="12.75" customHeight="1" x14ac:dyDescent="0.2">
      <c r="N512" s="32"/>
    </row>
    <row r="513" spans="14:14" ht="12.75" customHeight="1" x14ac:dyDescent="0.2">
      <c r="N513" s="32"/>
    </row>
    <row r="514" spans="14:14" ht="12.75" customHeight="1" x14ac:dyDescent="0.2">
      <c r="N514" s="32"/>
    </row>
    <row r="515" spans="14:14" ht="12.75" customHeight="1" x14ac:dyDescent="0.2">
      <c r="N515" s="32"/>
    </row>
    <row r="516" spans="14:14" ht="12.75" customHeight="1" x14ac:dyDescent="0.2">
      <c r="N516" s="32"/>
    </row>
    <row r="517" spans="14:14" ht="12.75" customHeight="1" x14ac:dyDescent="0.2">
      <c r="N517" s="32"/>
    </row>
    <row r="518" spans="14:14" ht="12.75" customHeight="1" x14ac:dyDescent="0.2">
      <c r="N518" s="32"/>
    </row>
    <row r="519" spans="14:14" ht="12.75" customHeight="1" x14ac:dyDescent="0.2">
      <c r="N519" s="32"/>
    </row>
    <row r="520" spans="14:14" ht="12.75" customHeight="1" x14ac:dyDescent="0.2">
      <c r="N520" s="32"/>
    </row>
    <row r="521" spans="14:14" ht="12.75" customHeight="1" x14ac:dyDescent="0.2">
      <c r="N521" s="32"/>
    </row>
    <row r="522" spans="14:14" ht="12.75" customHeight="1" x14ac:dyDescent="0.2">
      <c r="N522" s="32"/>
    </row>
    <row r="523" spans="14:14" ht="12.75" customHeight="1" x14ac:dyDescent="0.2">
      <c r="N523" s="32"/>
    </row>
    <row r="524" spans="14:14" ht="12.75" customHeight="1" x14ac:dyDescent="0.2">
      <c r="N524" s="32"/>
    </row>
    <row r="525" spans="14:14" ht="12.75" customHeight="1" x14ac:dyDescent="0.2">
      <c r="N525" s="32"/>
    </row>
    <row r="526" spans="14:14" ht="12.75" customHeight="1" x14ac:dyDescent="0.2">
      <c r="N526" s="32"/>
    </row>
    <row r="527" spans="14:14" ht="12.75" customHeight="1" x14ac:dyDescent="0.2">
      <c r="N527" s="32"/>
    </row>
    <row r="528" spans="14:14" ht="12.75" customHeight="1" x14ac:dyDescent="0.2">
      <c r="N528" s="32"/>
    </row>
    <row r="529" spans="14:14" ht="12.75" customHeight="1" x14ac:dyDescent="0.2">
      <c r="N529" s="32"/>
    </row>
    <row r="530" spans="14:14" ht="12.75" customHeight="1" x14ac:dyDescent="0.2">
      <c r="N530" s="32"/>
    </row>
    <row r="531" spans="14:14" ht="12.75" customHeight="1" x14ac:dyDescent="0.2">
      <c r="N531" s="32"/>
    </row>
    <row r="532" spans="14:14" ht="12.75" customHeight="1" x14ac:dyDescent="0.2">
      <c r="N532" s="32"/>
    </row>
    <row r="533" spans="14:14" ht="12.75" customHeight="1" x14ac:dyDescent="0.2">
      <c r="N533" s="32"/>
    </row>
    <row r="534" spans="14:14" ht="12.75" customHeight="1" x14ac:dyDescent="0.2">
      <c r="N534" s="32"/>
    </row>
    <row r="535" spans="14:14" ht="12.75" customHeight="1" x14ac:dyDescent="0.2">
      <c r="N535" s="32"/>
    </row>
    <row r="536" spans="14:14" ht="12.75" customHeight="1" x14ac:dyDescent="0.2">
      <c r="N536" s="32"/>
    </row>
    <row r="537" spans="14:14" ht="12.75" customHeight="1" x14ac:dyDescent="0.2">
      <c r="N537" s="32"/>
    </row>
    <row r="538" spans="14:14" ht="12.75" customHeight="1" x14ac:dyDescent="0.2">
      <c r="N538" s="32"/>
    </row>
    <row r="539" spans="14:14" ht="12.75" customHeight="1" x14ac:dyDescent="0.2">
      <c r="N539" s="32"/>
    </row>
    <row r="540" spans="14:14" ht="12.75" customHeight="1" x14ac:dyDescent="0.2">
      <c r="N540" s="32"/>
    </row>
    <row r="541" spans="14:14" ht="12.75" customHeight="1" x14ac:dyDescent="0.2">
      <c r="N541" s="32"/>
    </row>
    <row r="542" spans="14:14" ht="12.75" customHeight="1" x14ac:dyDescent="0.2">
      <c r="N542" s="32"/>
    </row>
    <row r="543" spans="14:14" ht="12.75" customHeight="1" x14ac:dyDescent="0.2">
      <c r="N543" s="32"/>
    </row>
    <row r="544" spans="14:14" ht="12.75" customHeight="1" x14ac:dyDescent="0.2">
      <c r="N544" s="32"/>
    </row>
    <row r="545" spans="14:14" ht="12.75" customHeight="1" x14ac:dyDescent="0.2">
      <c r="N545" s="32"/>
    </row>
    <row r="546" spans="14:14" ht="12.75" customHeight="1" x14ac:dyDescent="0.2">
      <c r="N546" s="32"/>
    </row>
    <row r="547" spans="14:14" ht="12.75" customHeight="1" x14ac:dyDescent="0.2">
      <c r="N547" s="32"/>
    </row>
    <row r="548" spans="14:14" ht="12.75" customHeight="1" x14ac:dyDescent="0.2">
      <c r="N548" s="32"/>
    </row>
    <row r="549" spans="14:14" ht="12.75" customHeight="1" x14ac:dyDescent="0.2">
      <c r="N549" s="32"/>
    </row>
    <row r="550" spans="14:14" ht="12.75" customHeight="1" x14ac:dyDescent="0.2">
      <c r="N550" s="32"/>
    </row>
    <row r="551" spans="14:14" ht="12.75" customHeight="1" x14ac:dyDescent="0.2">
      <c r="N551" s="32"/>
    </row>
    <row r="552" spans="14:14" ht="12.75" customHeight="1" x14ac:dyDescent="0.2">
      <c r="N552" s="32"/>
    </row>
    <row r="553" spans="14:14" ht="12.75" customHeight="1" x14ac:dyDescent="0.2">
      <c r="N553" s="32"/>
    </row>
    <row r="554" spans="14:14" ht="12.75" customHeight="1" x14ac:dyDescent="0.2">
      <c r="N554" s="32"/>
    </row>
    <row r="555" spans="14:14" ht="12.75" customHeight="1" x14ac:dyDescent="0.2">
      <c r="N555" s="32"/>
    </row>
    <row r="556" spans="14:14" ht="12.75" customHeight="1" x14ac:dyDescent="0.2">
      <c r="N556" s="32"/>
    </row>
    <row r="557" spans="14:14" ht="12.75" customHeight="1" x14ac:dyDescent="0.2">
      <c r="N557" s="32"/>
    </row>
    <row r="558" spans="14:14" ht="12.75" customHeight="1" x14ac:dyDescent="0.2">
      <c r="N558" s="32"/>
    </row>
    <row r="559" spans="14:14" ht="12.75" customHeight="1" x14ac:dyDescent="0.2">
      <c r="N559" s="32"/>
    </row>
    <row r="560" spans="14:14" ht="12.75" customHeight="1" x14ac:dyDescent="0.2">
      <c r="N560" s="32"/>
    </row>
    <row r="561" spans="14:14" ht="12.75" customHeight="1" x14ac:dyDescent="0.2">
      <c r="N561" s="32"/>
    </row>
    <row r="562" spans="14:14" ht="12.75" customHeight="1" x14ac:dyDescent="0.2">
      <c r="N562" s="32"/>
    </row>
    <row r="563" spans="14:14" ht="12.75" customHeight="1" x14ac:dyDescent="0.2">
      <c r="N563" s="32"/>
    </row>
    <row r="564" spans="14:14" ht="12.75" customHeight="1" x14ac:dyDescent="0.2">
      <c r="N564" s="32"/>
    </row>
    <row r="565" spans="14:14" ht="12.75" customHeight="1" x14ac:dyDescent="0.2">
      <c r="N565" s="32"/>
    </row>
    <row r="566" spans="14:14" ht="12.75" customHeight="1" x14ac:dyDescent="0.2">
      <c r="N566" s="32"/>
    </row>
    <row r="567" spans="14:14" ht="12.75" customHeight="1" x14ac:dyDescent="0.2">
      <c r="N567" s="32"/>
    </row>
    <row r="568" spans="14:14" ht="12.75" customHeight="1" x14ac:dyDescent="0.2">
      <c r="N568" s="32"/>
    </row>
    <row r="569" spans="14:14" ht="12.75" customHeight="1" x14ac:dyDescent="0.2">
      <c r="N569" s="32"/>
    </row>
    <row r="570" spans="14:14" ht="12.75" customHeight="1" x14ac:dyDescent="0.2">
      <c r="N570" s="32"/>
    </row>
    <row r="571" spans="14:14" ht="12.75" customHeight="1" x14ac:dyDescent="0.2">
      <c r="N571" s="32"/>
    </row>
    <row r="572" spans="14:14" ht="12.75" customHeight="1" x14ac:dyDescent="0.2">
      <c r="N572" s="32"/>
    </row>
    <row r="573" spans="14:14" ht="12.75" customHeight="1" x14ac:dyDescent="0.2">
      <c r="N573" s="32"/>
    </row>
    <row r="574" spans="14:14" ht="12.75" customHeight="1" x14ac:dyDescent="0.2">
      <c r="N574" s="32"/>
    </row>
    <row r="575" spans="14:14" ht="12.75" customHeight="1" x14ac:dyDescent="0.2">
      <c r="N575" s="32"/>
    </row>
    <row r="576" spans="14:14" ht="12.75" customHeight="1" x14ac:dyDescent="0.2">
      <c r="N576" s="32"/>
    </row>
    <row r="577" spans="14:14" ht="12.75" customHeight="1" x14ac:dyDescent="0.2">
      <c r="N577" s="32"/>
    </row>
    <row r="578" spans="14:14" ht="12.75" customHeight="1" x14ac:dyDescent="0.2">
      <c r="N578" s="32"/>
    </row>
    <row r="579" spans="14:14" ht="12.75" customHeight="1" x14ac:dyDescent="0.2">
      <c r="N579" s="32"/>
    </row>
    <row r="580" spans="14:14" ht="12.75" customHeight="1" x14ac:dyDescent="0.2">
      <c r="N580" s="32"/>
    </row>
    <row r="581" spans="14:14" ht="12.75" customHeight="1" x14ac:dyDescent="0.2">
      <c r="N581" s="32"/>
    </row>
    <row r="582" spans="14:14" ht="12.75" customHeight="1" x14ac:dyDescent="0.2">
      <c r="N582" s="32"/>
    </row>
    <row r="583" spans="14:14" ht="12.75" customHeight="1" x14ac:dyDescent="0.2">
      <c r="N583" s="32"/>
    </row>
    <row r="584" spans="14:14" ht="12.75" customHeight="1" x14ac:dyDescent="0.2">
      <c r="N584" s="32"/>
    </row>
    <row r="585" spans="14:14" ht="12.75" customHeight="1" x14ac:dyDescent="0.2">
      <c r="N585" s="32"/>
    </row>
    <row r="586" spans="14:14" ht="12.75" customHeight="1" x14ac:dyDescent="0.2">
      <c r="N586" s="32"/>
    </row>
    <row r="587" spans="14:14" ht="12.75" customHeight="1" x14ac:dyDescent="0.2">
      <c r="N587" s="32"/>
    </row>
    <row r="588" spans="14:14" ht="12.75" customHeight="1" x14ac:dyDescent="0.2">
      <c r="N588" s="32"/>
    </row>
    <row r="589" spans="14:14" ht="12.75" customHeight="1" x14ac:dyDescent="0.2">
      <c r="N589" s="32"/>
    </row>
    <row r="590" spans="14:14" ht="12.75" customHeight="1" x14ac:dyDescent="0.2">
      <c r="N590" s="32"/>
    </row>
    <row r="591" spans="14:14" ht="12.75" customHeight="1" x14ac:dyDescent="0.2">
      <c r="N591" s="32"/>
    </row>
    <row r="592" spans="14:14" ht="12.75" customHeight="1" x14ac:dyDescent="0.2">
      <c r="N592" s="32"/>
    </row>
    <row r="593" spans="14:14" ht="12.75" customHeight="1" x14ac:dyDescent="0.2">
      <c r="N593" s="32"/>
    </row>
    <row r="594" spans="14:14" ht="12.75" customHeight="1" x14ac:dyDescent="0.2">
      <c r="N594" s="32"/>
    </row>
    <row r="595" spans="14:14" ht="12.75" customHeight="1" x14ac:dyDescent="0.2">
      <c r="N595" s="32"/>
    </row>
    <row r="596" spans="14:14" ht="12.75" customHeight="1" x14ac:dyDescent="0.2">
      <c r="N596" s="32"/>
    </row>
    <row r="597" spans="14:14" ht="12.75" customHeight="1" x14ac:dyDescent="0.2">
      <c r="N597" s="32"/>
    </row>
    <row r="598" spans="14:14" ht="12.75" customHeight="1" x14ac:dyDescent="0.2">
      <c r="N598" s="32"/>
    </row>
    <row r="599" spans="14:14" ht="12.75" customHeight="1" x14ac:dyDescent="0.2">
      <c r="N599" s="32"/>
    </row>
    <row r="600" spans="14:14" ht="12.75" customHeight="1" x14ac:dyDescent="0.2">
      <c r="N600" s="32"/>
    </row>
    <row r="601" spans="14:14" ht="12.75" customHeight="1" x14ac:dyDescent="0.2">
      <c r="N601" s="32"/>
    </row>
    <row r="602" spans="14:14" ht="12.75" customHeight="1" x14ac:dyDescent="0.2">
      <c r="N602" s="32"/>
    </row>
    <row r="603" spans="14:14" ht="12.75" customHeight="1" x14ac:dyDescent="0.2">
      <c r="N603" s="32"/>
    </row>
    <row r="604" spans="14:14" ht="12.75" customHeight="1" x14ac:dyDescent="0.2">
      <c r="N604" s="32"/>
    </row>
    <row r="605" spans="14:14" ht="12.75" customHeight="1" x14ac:dyDescent="0.2">
      <c r="N605" s="32"/>
    </row>
    <row r="606" spans="14:14" ht="12.75" customHeight="1" x14ac:dyDescent="0.2">
      <c r="N606" s="32"/>
    </row>
    <row r="607" spans="14:14" ht="12.75" customHeight="1" x14ac:dyDescent="0.2">
      <c r="N607" s="32"/>
    </row>
    <row r="608" spans="14:14" ht="12.75" customHeight="1" x14ac:dyDescent="0.2">
      <c r="N608" s="32"/>
    </row>
    <row r="609" spans="14:14" ht="12.75" customHeight="1" x14ac:dyDescent="0.2">
      <c r="N609" s="32"/>
    </row>
    <row r="610" spans="14:14" ht="12.75" customHeight="1" x14ac:dyDescent="0.2">
      <c r="N610" s="32"/>
    </row>
    <row r="611" spans="14:14" ht="12.75" customHeight="1" x14ac:dyDescent="0.2">
      <c r="N611" s="32"/>
    </row>
    <row r="612" spans="14:14" ht="12.75" customHeight="1" x14ac:dyDescent="0.2">
      <c r="N612" s="32"/>
    </row>
    <row r="613" spans="14:14" ht="12.75" customHeight="1" x14ac:dyDescent="0.2">
      <c r="N613" s="32"/>
    </row>
    <row r="614" spans="14:14" ht="12.75" customHeight="1" x14ac:dyDescent="0.2">
      <c r="N614" s="32"/>
    </row>
    <row r="615" spans="14:14" ht="12.75" customHeight="1" x14ac:dyDescent="0.2">
      <c r="N615" s="32"/>
    </row>
    <row r="616" spans="14:14" ht="12.75" customHeight="1" x14ac:dyDescent="0.2">
      <c r="N616" s="32"/>
    </row>
    <row r="617" spans="14:14" ht="12.75" customHeight="1" x14ac:dyDescent="0.2">
      <c r="N617" s="32"/>
    </row>
    <row r="618" spans="14:14" ht="12.75" customHeight="1" x14ac:dyDescent="0.2">
      <c r="N618" s="32"/>
    </row>
    <row r="619" spans="14:14" ht="12.75" customHeight="1" x14ac:dyDescent="0.2">
      <c r="N619" s="32"/>
    </row>
    <row r="620" spans="14:14" ht="12.75" customHeight="1" x14ac:dyDescent="0.2">
      <c r="N620" s="32"/>
    </row>
    <row r="621" spans="14:14" ht="12.75" customHeight="1" x14ac:dyDescent="0.2">
      <c r="N621" s="32"/>
    </row>
    <row r="622" spans="14:14" ht="12.75" customHeight="1" x14ac:dyDescent="0.2">
      <c r="N622" s="32"/>
    </row>
    <row r="623" spans="14:14" ht="12.75" customHeight="1" x14ac:dyDescent="0.2">
      <c r="N623" s="32"/>
    </row>
    <row r="624" spans="14:14" ht="12.75" customHeight="1" x14ac:dyDescent="0.2">
      <c r="N624" s="32"/>
    </row>
    <row r="625" spans="14:14" ht="12.75" customHeight="1" x14ac:dyDescent="0.2">
      <c r="N625" s="32"/>
    </row>
    <row r="626" spans="14:14" ht="12.75" customHeight="1" x14ac:dyDescent="0.2">
      <c r="N626" s="32"/>
    </row>
    <row r="627" spans="14:14" ht="12.75" customHeight="1" x14ac:dyDescent="0.2">
      <c r="N627" s="32"/>
    </row>
    <row r="628" spans="14:14" ht="12.75" customHeight="1" x14ac:dyDescent="0.2">
      <c r="N628" s="32"/>
    </row>
    <row r="629" spans="14:14" ht="12.75" customHeight="1" x14ac:dyDescent="0.2">
      <c r="N629" s="32"/>
    </row>
    <row r="630" spans="14:14" ht="12.75" customHeight="1" x14ac:dyDescent="0.2">
      <c r="N630" s="32"/>
    </row>
    <row r="631" spans="14:14" ht="12.75" customHeight="1" x14ac:dyDescent="0.2">
      <c r="N631" s="32"/>
    </row>
    <row r="632" spans="14:14" ht="12.75" customHeight="1" x14ac:dyDescent="0.2">
      <c r="N632" s="32"/>
    </row>
    <row r="633" spans="14:14" ht="12.75" customHeight="1" x14ac:dyDescent="0.2">
      <c r="N633" s="32"/>
    </row>
    <row r="634" spans="14:14" ht="12.75" customHeight="1" x14ac:dyDescent="0.2">
      <c r="N634" s="32"/>
    </row>
    <row r="635" spans="14:14" ht="12.75" customHeight="1" x14ac:dyDescent="0.2">
      <c r="N635" s="32"/>
    </row>
    <row r="636" spans="14:14" ht="12.75" customHeight="1" x14ac:dyDescent="0.2">
      <c r="N636" s="32"/>
    </row>
    <row r="637" spans="14:14" ht="12.75" customHeight="1" x14ac:dyDescent="0.2">
      <c r="N637" s="32"/>
    </row>
    <row r="638" spans="14:14" ht="12.75" customHeight="1" x14ac:dyDescent="0.2">
      <c r="N638" s="32"/>
    </row>
    <row r="639" spans="14:14" ht="12.75" customHeight="1" x14ac:dyDescent="0.2">
      <c r="N639" s="32"/>
    </row>
    <row r="640" spans="14:14" ht="12.75" customHeight="1" x14ac:dyDescent="0.2">
      <c r="N640" s="32"/>
    </row>
    <row r="641" spans="14:14" ht="12.75" customHeight="1" x14ac:dyDescent="0.2">
      <c r="N641" s="32"/>
    </row>
    <row r="642" spans="14:14" ht="12.75" customHeight="1" x14ac:dyDescent="0.2">
      <c r="N642" s="32"/>
    </row>
    <row r="643" spans="14:14" ht="12.75" customHeight="1" x14ac:dyDescent="0.2">
      <c r="N643" s="32"/>
    </row>
    <row r="644" spans="14:14" ht="12.75" customHeight="1" x14ac:dyDescent="0.2">
      <c r="N644" s="32"/>
    </row>
    <row r="645" spans="14:14" ht="12.75" customHeight="1" x14ac:dyDescent="0.2">
      <c r="N645" s="32"/>
    </row>
    <row r="646" spans="14:14" ht="12.75" customHeight="1" x14ac:dyDescent="0.2">
      <c r="N646" s="32"/>
    </row>
    <row r="647" spans="14:14" ht="12.75" customHeight="1" x14ac:dyDescent="0.2">
      <c r="N647" s="32"/>
    </row>
    <row r="648" spans="14:14" ht="12.75" customHeight="1" x14ac:dyDescent="0.2">
      <c r="N648" s="32"/>
    </row>
    <row r="649" spans="14:14" ht="12.75" customHeight="1" x14ac:dyDescent="0.2">
      <c r="N649" s="32"/>
    </row>
    <row r="650" spans="14:14" ht="12.75" customHeight="1" x14ac:dyDescent="0.2">
      <c r="N650" s="32"/>
    </row>
    <row r="651" spans="14:14" ht="12.75" customHeight="1" x14ac:dyDescent="0.2">
      <c r="N651" s="32"/>
    </row>
    <row r="652" spans="14:14" ht="12.75" customHeight="1" x14ac:dyDescent="0.2">
      <c r="N652" s="32"/>
    </row>
    <row r="653" spans="14:14" ht="12.75" customHeight="1" x14ac:dyDescent="0.2">
      <c r="N653" s="32"/>
    </row>
    <row r="654" spans="14:14" ht="12.75" customHeight="1" x14ac:dyDescent="0.2">
      <c r="N654" s="32"/>
    </row>
    <row r="655" spans="14:14" ht="12.75" customHeight="1" x14ac:dyDescent="0.2">
      <c r="N655" s="32"/>
    </row>
    <row r="656" spans="14:14" ht="12.75" customHeight="1" x14ac:dyDescent="0.2">
      <c r="N656" s="32"/>
    </row>
    <row r="657" spans="14:14" ht="12.75" customHeight="1" x14ac:dyDescent="0.2">
      <c r="N657" s="32"/>
    </row>
    <row r="658" spans="14:14" ht="12.75" customHeight="1" x14ac:dyDescent="0.2">
      <c r="N658" s="32"/>
    </row>
    <row r="659" spans="14:14" ht="12.75" customHeight="1" x14ac:dyDescent="0.2">
      <c r="N659" s="32"/>
    </row>
    <row r="660" spans="14:14" ht="12.75" customHeight="1" x14ac:dyDescent="0.2">
      <c r="N660" s="32"/>
    </row>
    <row r="661" spans="14:14" ht="12.75" customHeight="1" x14ac:dyDescent="0.2">
      <c r="N661" s="32"/>
    </row>
    <row r="662" spans="14:14" ht="12.75" customHeight="1" x14ac:dyDescent="0.2">
      <c r="N662" s="32"/>
    </row>
    <row r="663" spans="14:14" ht="12.75" customHeight="1" x14ac:dyDescent="0.2">
      <c r="N663" s="32"/>
    </row>
    <row r="664" spans="14:14" ht="12.75" customHeight="1" x14ac:dyDescent="0.2">
      <c r="N664" s="32"/>
    </row>
    <row r="665" spans="14:14" ht="12.75" customHeight="1" x14ac:dyDescent="0.2">
      <c r="N665" s="32"/>
    </row>
    <row r="666" spans="14:14" ht="12.75" customHeight="1" x14ac:dyDescent="0.2">
      <c r="N666" s="32"/>
    </row>
    <row r="667" spans="14:14" ht="12.75" customHeight="1" x14ac:dyDescent="0.2">
      <c r="N667" s="32"/>
    </row>
    <row r="668" spans="14:14" ht="12.75" customHeight="1" x14ac:dyDescent="0.2">
      <c r="N668" s="32"/>
    </row>
    <row r="669" spans="14:14" ht="12.75" customHeight="1" x14ac:dyDescent="0.2">
      <c r="N669" s="32"/>
    </row>
    <row r="670" spans="14:14" ht="12.75" customHeight="1" x14ac:dyDescent="0.2">
      <c r="N670" s="32"/>
    </row>
    <row r="671" spans="14:14" ht="12.75" customHeight="1" x14ac:dyDescent="0.2">
      <c r="N671" s="32"/>
    </row>
    <row r="672" spans="14:14" ht="12.75" customHeight="1" x14ac:dyDescent="0.2">
      <c r="N672" s="32"/>
    </row>
    <row r="673" spans="14:14" ht="12.75" customHeight="1" x14ac:dyDescent="0.2">
      <c r="N673" s="32"/>
    </row>
    <row r="674" spans="14:14" ht="12.75" customHeight="1" x14ac:dyDescent="0.2">
      <c r="N674" s="32"/>
    </row>
    <row r="675" spans="14:14" ht="12.75" customHeight="1" x14ac:dyDescent="0.2">
      <c r="N675" s="32"/>
    </row>
    <row r="676" spans="14:14" ht="12.75" customHeight="1" x14ac:dyDescent="0.2">
      <c r="N676" s="32"/>
    </row>
    <row r="677" spans="14:14" ht="12.75" customHeight="1" x14ac:dyDescent="0.2">
      <c r="N677" s="32"/>
    </row>
    <row r="678" spans="14:14" ht="12.75" customHeight="1" x14ac:dyDescent="0.2">
      <c r="N678" s="32"/>
    </row>
    <row r="679" spans="14:14" ht="12.75" customHeight="1" x14ac:dyDescent="0.2">
      <c r="N679" s="32"/>
    </row>
    <row r="680" spans="14:14" ht="12.75" customHeight="1" x14ac:dyDescent="0.2">
      <c r="N680" s="32"/>
    </row>
    <row r="681" spans="14:14" ht="12.75" customHeight="1" x14ac:dyDescent="0.2">
      <c r="N681" s="32"/>
    </row>
    <row r="682" spans="14:14" ht="12.75" customHeight="1" x14ac:dyDescent="0.2">
      <c r="N682" s="32"/>
    </row>
    <row r="683" spans="14:14" ht="12.75" customHeight="1" x14ac:dyDescent="0.2">
      <c r="N683" s="32"/>
    </row>
    <row r="684" spans="14:14" ht="12.75" customHeight="1" x14ac:dyDescent="0.2">
      <c r="N684" s="32"/>
    </row>
    <row r="685" spans="14:14" ht="12.75" customHeight="1" x14ac:dyDescent="0.2">
      <c r="N685" s="32"/>
    </row>
    <row r="686" spans="14:14" ht="12.75" customHeight="1" x14ac:dyDescent="0.2">
      <c r="N686" s="32"/>
    </row>
    <row r="687" spans="14:14" ht="12.75" customHeight="1" x14ac:dyDescent="0.2">
      <c r="N687" s="32"/>
    </row>
    <row r="688" spans="14:14" ht="12.75" customHeight="1" x14ac:dyDescent="0.2">
      <c r="N688" s="32"/>
    </row>
    <row r="689" spans="14:14" ht="12.75" customHeight="1" x14ac:dyDescent="0.2">
      <c r="N689" s="32"/>
    </row>
    <row r="690" spans="14:14" ht="12.75" customHeight="1" x14ac:dyDescent="0.2">
      <c r="N690" s="32"/>
    </row>
    <row r="691" spans="14:14" ht="12.75" customHeight="1" x14ac:dyDescent="0.2">
      <c r="N691" s="32"/>
    </row>
    <row r="692" spans="14:14" ht="12.75" customHeight="1" x14ac:dyDescent="0.2">
      <c r="N692" s="32"/>
    </row>
    <row r="693" spans="14:14" ht="12.75" customHeight="1" x14ac:dyDescent="0.2">
      <c r="N693" s="32"/>
    </row>
    <row r="694" spans="14:14" ht="12.75" customHeight="1" x14ac:dyDescent="0.2">
      <c r="N694" s="32"/>
    </row>
    <row r="695" spans="14:14" ht="12.75" customHeight="1" x14ac:dyDescent="0.2">
      <c r="N695" s="32"/>
    </row>
    <row r="696" spans="14:14" ht="12.75" customHeight="1" x14ac:dyDescent="0.2">
      <c r="N696" s="32"/>
    </row>
    <row r="697" spans="14:14" ht="12.75" customHeight="1" x14ac:dyDescent="0.2">
      <c r="N697" s="32"/>
    </row>
    <row r="698" spans="14:14" ht="12.75" customHeight="1" x14ac:dyDescent="0.2">
      <c r="N698" s="32"/>
    </row>
    <row r="699" spans="14:14" ht="12.75" customHeight="1" x14ac:dyDescent="0.2">
      <c r="N699" s="32"/>
    </row>
    <row r="700" spans="14:14" ht="12.75" customHeight="1" x14ac:dyDescent="0.2">
      <c r="N700" s="32"/>
    </row>
    <row r="701" spans="14:14" ht="12.75" customHeight="1" x14ac:dyDescent="0.2">
      <c r="N701" s="32"/>
    </row>
    <row r="702" spans="14:14" ht="12.75" customHeight="1" x14ac:dyDescent="0.2">
      <c r="N702" s="32"/>
    </row>
    <row r="703" spans="14:14" ht="12.75" customHeight="1" x14ac:dyDescent="0.2">
      <c r="N703" s="32"/>
    </row>
    <row r="704" spans="14:14" ht="12.75" customHeight="1" x14ac:dyDescent="0.2">
      <c r="N704" s="32"/>
    </row>
    <row r="705" spans="14:14" ht="12.75" customHeight="1" x14ac:dyDescent="0.2">
      <c r="N705" s="32"/>
    </row>
    <row r="706" spans="14:14" ht="12.75" customHeight="1" x14ac:dyDescent="0.2">
      <c r="N706" s="32"/>
    </row>
    <row r="707" spans="14:14" ht="12.75" customHeight="1" x14ac:dyDescent="0.2">
      <c r="N707" s="32"/>
    </row>
    <row r="708" spans="14:14" ht="12.75" customHeight="1" x14ac:dyDescent="0.2">
      <c r="N708" s="32"/>
    </row>
    <row r="709" spans="14:14" ht="12.75" customHeight="1" x14ac:dyDescent="0.2">
      <c r="N709" s="32"/>
    </row>
    <row r="710" spans="14:14" ht="12.75" customHeight="1" x14ac:dyDescent="0.2">
      <c r="N710" s="32"/>
    </row>
    <row r="711" spans="14:14" ht="12.75" customHeight="1" x14ac:dyDescent="0.2">
      <c r="N711" s="32"/>
    </row>
    <row r="712" spans="14:14" ht="12.75" customHeight="1" x14ac:dyDescent="0.2">
      <c r="N712" s="32"/>
    </row>
    <row r="713" spans="14:14" ht="12.75" customHeight="1" x14ac:dyDescent="0.2">
      <c r="N713" s="32"/>
    </row>
    <row r="714" spans="14:14" ht="12.75" customHeight="1" x14ac:dyDescent="0.2">
      <c r="N714" s="32"/>
    </row>
    <row r="715" spans="14:14" ht="12.75" customHeight="1" x14ac:dyDescent="0.2">
      <c r="N715" s="32"/>
    </row>
    <row r="716" spans="14:14" ht="12.75" customHeight="1" x14ac:dyDescent="0.2">
      <c r="N716" s="32"/>
    </row>
    <row r="717" spans="14:14" ht="12.75" customHeight="1" x14ac:dyDescent="0.2">
      <c r="N717" s="32"/>
    </row>
    <row r="718" spans="14:14" ht="12.75" customHeight="1" x14ac:dyDescent="0.2">
      <c r="N718" s="32"/>
    </row>
    <row r="719" spans="14:14" ht="12.75" customHeight="1" x14ac:dyDescent="0.2">
      <c r="N719" s="32"/>
    </row>
    <row r="720" spans="14:14" ht="12.75" customHeight="1" x14ac:dyDescent="0.2">
      <c r="N720" s="32"/>
    </row>
    <row r="721" spans="14:14" ht="12.75" customHeight="1" x14ac:dyDescent="0.2">
      <c r="N721" s="32"/>
    </row>
    <row r="722" spans="14:14" ht="12.75" customHeight="1" x14ac:dyDescent="0.2">
      <c r="N722" s="32"/>
    </row>
    <row r="723" spans="14:14" ht="12.75" customHeight="1" x14ac:dyDescent="0.2">
      <c r="N723" s="32"/>
    </row>
    <row r="724" spans="14:14" ht="12.75" customHeight="1" x14ac:dyDescent="0.2">
      <c r="N724" s="32"/>
    </row>
    <row r="725" spans="14:14" ht="12.75" customHeight="1" x14ac:dyDescent="0.2">
      <c r="N725" s="32"/>
    </row>
    <row r="726" spans="14:14" ht="12.75" customHeight="1" x14ac:dyDescent="0.2">
      <c r="N726" s="32"/>
    </row>
    <row r="727" spans="14:14" ht="12.75" customHeight="1" x14ac:dyDescent="0.2">
      <c r="N727" s="32"/>
    </row>
    <row r="728" spans="14:14" ht="12.75" customHeight="1" x14ac:dyDescent="0.2">
      <c r="N728" s="32"/>
    </row>
    <row r="729" spans="14:14" ht="12.75" customHeight="1" x14ac:dyDescent="0.2">
      <c r="N729" s="32"/>
    </row>
    <row r="730" spans="14:14" ht="12.75" customHeight="1" x14ac:dyDescent="0.2">
      <c r="N730" s="32"/>
    </row>
    <row r="731" spans="14:14" ht="12.75" customHeight="1" x14ac:dyDescent="0.2">
      <c r="N731" s="32"/>
    </row>
    <row r="732" spans="14:14" ht="12.75" customHeight="1" x14ac:dyDescent="0.2">
      <c r="N732" s="32"/>
    </row>
    <row r="733" spans="14:14" ht="12.75" customHeight="1" x14ac:dyDescent="0.2">
      <c r="N733" s="32"/>
    </row>
    <row r="734" spans="14:14" ht="12.75" customHeight="1" x14ac:dyDescent="0.2">
      <c r="N734" s="32"/>
    </row>
    <row r="735" spans="14:14" ht="12.75" customHeight="1" x14ac:dyDescent="0.2">
      <c r="N735" s="32"/>
    </row>
    <row r="736" spans="14:14" ht="12.75" customHeight="1" x14ac:dyDescent="0.2">
      <c r="N736" s="32"/>
    </row>
    <row r="737" spans="14:14" ht="12.75" customHeight="1" x14ac:dyDescent="0.2">
      <c r="N737" s="32"/>
    </row>
    <row r="738" spans="14:14" ht="12.75" customHeight="1" x14ac:dyDescent="0.2">
      <c r="N738" s="32"/>
    </row>
    <row r="739" spans="14:14" ht="12.75" customHeight="1" x14ac:dyDescent="0.2">
      <c r="N739" s="32"/>
    </row>
    <row r="740" spans="14:14" ht="12.75" customHeight="1" x14ac:dyDescent="0.2">
      <c r="N740" s="32"/>
    </row>
    <row r="741" spans="14:14" ht="12.75" customHeight="1" x14ac:dyDescent="0.2">
      <c r="N741" s="32"/>
    </row>
    <row r="742" spans="14:14" ht="12.75" customHeight="1" x14ac:dyDescent="0.2">
      <c r="N742" s="32"/>
    </row>
    <row r="743" spans="14:14" ht="12.75" customHeight="1" x14ac:dyDescent="0.2">
      <c r="N743" s="32"/>
    </row>
    <row r="744" spans="14:14" ht="12.75" customHeight="1" x14ac:dyDescent="0.2">
      <c r="N744" s="32"/>
    </row>
    <row r="745" spans="14:14" ht="12.75" customHeight="1" x14ac:dyDescent="0.2">
      <c r="N745" s="32"/>
    </row>
    <row r="746" spans="14:14" ht="12.75" customHeight="1" x14ac:dyDescent="0.2">
      <c r="N746" s="32"/>
    </row>
    <row r="747" spans="14:14" ht="12.75" customHeight="1" x14ac:dyDescent="0.2">
      <c r="N747" s="32"/>
    </row>
    <row r="748" spans="14:14" ht="12.75" customHeight="1" x14ac:dyDescent="0.2">
      <c r="N748" s="32"/>
    </row>
    <row r="749" spans="14:14" ht="12.75" customHeight="1" x14ac:dyDescent="0.2">
      <c r="N749" s="32"/>
    </row>
    <row r="750" spans="14:14" ht="12.75" customHeight="1" x14ac:dyDescent="0.2">
      <c r="N750" s="32"/>
    </row>
    <row r="751" spans="14:14" ht="12.75" customHeight="1" x14ac:dyDescent="0.2">
      <c r="N751" s="32"/>
    </row>
    <row r="752" spans="14:14" ht="12.75" customHeight="1" x14ac:dyDescent="0.2">
      <c r="N752" s="32"/>
    </row>
    <row r="753" spans="14:14" ht="12.75" customHeight="1" x14ac:dyDescent="0.2">
      <c r="N753" s="32"/>
    </row>
    <row r="754" spans="14:14" ht="12.75" customHeight="1" x14ac:dyDescent="0.2">
      <c r="N754" s="32"/>
    </row>
    <row r="755" spans="14:14" ht="12.75" customHeight="1" x14ac:dyDescent="0.2">
      <c r="N755" s="32"/>
    </row>
    <row r="756" spans="14:14" ht="12.75" customHeight="1" x14ac:dyDescent="0.2">
      <c r="N756" s="32"/>
    </row>
    <row r="757" spans="14:14" ht="12.75" customHeight="1" x14ac:dyDescent="0.2">
      <c r="N757" s="32"/>
    </row>
    <row r="758" spans="14:14" ht="12.75" customHeight="1" x14ac:dyDescent="0.2">
      <c r="N758" s="32"/>
    </row>
    <row r="759" spans="14:14" ht="12.75" customHeight="1" x14ac:dyDescent="0.2">
      <c r="N759" s="32"/>
    </row>
    <row r="760" spans="14:14" ht="12.75" customHeight="1" x14ac:dyDescent="0.2">
      <c r="N760" s="32"/>
    </row>
    <row r="761" spans="14:14" ht="12.75" customHeight="1" x14ac:dyDescent="0.2">
      <c r="N761" s="32"/>
    </row>
    <row r="762" spans="14:14" ht="12.75" customHeight="1" x14ac:dyDescent="0.2">
      <c r="N762" s="32"/>
    </row>
    <row r="763" spans="14:14" ht="12.75" customHeight="1" x14ac:dyDescent="0.2">
      <c r="N763" s="32"/>
    </row>
    <row r="764" spans="14:14" ht="12.75" customHeight="1" x14ac:dyDescent="0.2">
      <c r="N764" s="32"/>
    </row>
    <row r="765" spans="14:14" ht="12.75" customHeight="1" x14ac:dyDescent="0.2">
      <c r="N765" s="32"/>
    </row>
    <row r="766" spans="14:14" ht="12.75" customHeight="1" x14ac:dyDescent="0.2">
      <c r="N766" s="32"/>
    </row>
    <row r="767" spans="14:14" ht="12.75" customHeight="1" x14ac:dyDescent="0.2">
      <c r="N767" s="32"/>
    </row>
    <row r="768" spans="14:14" ht="12.75" customHeight="1" x14ac:dyDescent="0.2">
      <c r="N768" s="32"/>
    </row>
    <row r="769" spans="14:14" ht="12.75" customHeight="1" x14ac:dyDescent="0.2">
      <c r="N769" s="32"/>
    </row>
    <row r="770" spans="14:14" ht="12.75" customHeight="1" x14ac:dyDescent="0.2">
      <c r="N770" s="32"/>
    </row>
    <row r="771" spans="14:14" ht="12.75" customHeight="1" x14ac:dyDescent="0.2">
      <c r="N771" s="32"/>
    </row>
    <row r="772" spans="14:14" ht="12.75" customHeight="1" x14ac:dyDescent="0.2">
      <c r="N772" s="32"/>
    </row>
    <row r="773" spans="14:14" ht="12.75" customHeight="1" x14ac:dyDescent="0.2">
      <c r="N773" s="32"/>
    </row>
    <row r="774" spans="14:14" ht="12.75" customHeight="1" x14ac:dyDescent="0.2">
      <c r="N774" s="32"/>
    </row>
    <row r="775" spans="14:14" ht="12.75" customHeight="1" x14ac:dyDescent="0.2">
      <c r="N775" s="32"/>
    </row>
    <row r="776" spans="14:14" ht="12.75" customHeight="1" x14ac:dyDescent="0.2">
      <c r="N776" s="32"/>
    </row>
    <row r="777" spans="14:14" ht="12.75" customHeight="1" x14ac:dyDescent="0.2">
      <c r="N777" s="32"/>
    </row>
    <row r="778" spans="14:14" ht="12.75" customHeight="1" x14ac:dyDescent="0.2">
      <c r="N778" s="32"/>
    </row>
    <row r="779" spans="14:14" ht="12.75" customHeight="1" x14ac:dyDescent="0.2">
      <c r="N779" s="32"/>
    </row>
    <row r="780" spans="14:14" ht="12.75" customHeight="1" x14ac:dyDescent="0.2">
      <c r="N780" s="32"/>
    </row>
    <row r="781" spans="14:14" ht="12.75" customHeight="1" x14ac:dyDescent="0.2">
      <c r="N781" s="32"/>
    </row>
    <row r="782" spans="14:14" ht="12.75" customHeight="1" x14ac:dyDescent="0.2">
      <c r="N782" s="32"/>
    </row>
    <row r="783" spans="14:14" ht="12.75" customHeight="1" x14ac:dyDescent="0.2">
      <c r="N783" s="32"/>
    </row>
    <row r="784" spans="14:14" ht="12.75" customHeight="1" x14ac:dyDescent="0.2">
      <c r="N784" s="32"/>
    </row>
    <row r="785" spans="14:14" ht="12.75" customHeight="1" x14ac:dyDescent="0.2">
      <c r="N785" s="32"/>
    </row>
    <row r="786" spans="14:14" ht="12.75" customHeight="1" x14ac:dyDescent="0.2">
      <c r="N786" s="32"/>
    </row>
    <row r="787" spans="14:14" ht="12.75" customHeight="1" x14ac:dyDescent="0.2">
      <c r="N787" s="32"/>
    </row>
    <row r="788" spans="14:14" ht="12.75" customHeight="1" x14ac:dyDescent="0.2">
      <c r="N788" s="32"/>
    </row>
    <row r="789" spans="14:14" ht="12.75" customHeight="1" x14ac:dyDescent="0.2">
      <c r="N789" s="32"/>
    </row>
    <row r="790" spans="14:14" ht="12.75" customHeight="1" x14ac:dyDescent="0.2">
      <c r="N790" s="32"/>
    </row>
    <row r="791" spans="14:14" ht="12.75" customHeight="1" x14ac:dyDescent="0.2">
      <c r="N791" s="32"/>
    </row>
    <row r="792" spans="14:14" ht="12.75" customHeight="1" x14ac:dyDescent="0.2">
      <c r="N792" s="32"/>
    </row>
    <row r="793" spans="14:14" ht="12.75" customHeight="1" x14ac:dyDescent="0.2">
      <c r="N793" s="32"/>
    </row>
    <row r="794" spans="14:14" ht="12.75" customHeight="1" x14ac:dyDescent="0.2">
      <c r="N794" s="32"/>
    </row>
    <row r="795" spans="14:14" ht="12.75" customHeight="1" x14ac:dyDescent="0.2">
      <c r="N795" s="32"/>
    </row>
    <row r="796" spans="14:14" ht="12.75" customHeight="1" x14ac:dyDescent="0.2">
      <c r="N796" s="32"/>
    </row>
    <row r="797" spans="14:14" ht="12.75" customHeight="1" x14ac:dyDescent="0.2">
      <c r="N797" s="32"/>
    </row>
    <row r="798" spans="14:14" ht="12.75" customHeight="1" x14ac:dyDescent="0.2">
      <c r="N798" s="32"/>
    </row>
    <row r="799" spans="14:14" ht="12.75" customHeight="1" x14ac:dyDescent="0.2">
      <c r="N799" s="32"/>
    </row>
    <row r="800" spans="14:14" ht="12.75" customHeight="1" x14ac:dyDescent="0.2">
      <c r="N800" s="32"/>
    </row>
    <row r="801" spans="14:14" ht="12.75" customHeight="1" x14ac:dyDescent="0.2">
      <c r="N801" s="32"/>
    </row>
    <row r="802" spans="14:14" ht="12.75" customHeight="1" x14ac:dyDescent="0.2">
      <c r="N802" s="32"/>
    </row>
    <row r="803" spans="14:14" ht="12.75" customHeight="1" x14ac:dyDescent="0.2">
      <c r="N803" s="32"/>
    </row>
    <row r="804" spans="14:14" ht="12.75" customHeight="1" x14ac:dyDescent="0.2">
      <c r="N804" s="32"/>
    </row>
    <row r="805" spans="14:14" ht="12.75" customHeight="1" x14ac:dyDescent="0.2">
      <c r="N805" s="32"/>
    </row>
    <row r="806" spans="14:14" ht="12.75" customHeight="1" x14ac:dyDescent="0.2">
      <c r="N806" s="32"/>
    </row>
    <row r="807" spans="14:14" ht="12.75" customHeight="1" x14ac:dyDescent="0.2">
      <c r="N807" s="32"/>
    </row>
    <row r="808" spans="14:14" ht="12.75" customHeight="1" x14ac:dyDescent="0.2">
      <c r="N808" s="32"/>
    </row>
    <row r="809" spans="14:14" ht="12.75" customHeight="1" x14ac:dyDescent="0.2">
      <c r="N809" s="32"/>
    </row>
    <row r="810" spans="14:14" ht="12.75" customHeight="1" x14ac:dyDescent="0.2">
      <c r="N810" s="32"/>
    </row>
    <row r="811" spans="14:14" ht="12.75" customHeight="1" x14ac:dyDescent="0.2">
      <c r="N811" s="32"/>
    </row>
    <row r="812" spans="14:14" ht="12.75" customHeight="1" x14ac:dyDescent="0.2">
      <c r="N812" s="32"/>
    </row>
    <row r="813" spans="14:14" ht="12.75" customHeight="1" x14ac:dyDescent="0.2">
      <c r="N813" s="32"/>
    </row>
    <row r="814" spans="14:14" ht="12.75" customHeight="1" x14ac:dyDescent="0.2">
      <c r="N814" s="32"/>
    </row>
    <row r="815" spans="14:14" ht="12.75" customHeight="1" x14ac:dyDescent="0.2">
      <c r="N815" s="32"/>
    </row>
    <row r="816" spans="14:14" ht="12.75" customHeight="1" x14ac:dyDescent="0.2">
      <c r="N816" s="32"/>
    </row>
    <row r="817" spans="14:14" ht="12.75" customHeight="1" x14ac:dyDescent="0.2">
      <c r="N817" s="32"/>
    </row>
    <row r="818" spans="14:14" ht="12.75" customHeight="1" x14ac:dyDescent="0.2">
      <c r="N818" s="32"/>
    </row>
    <row r="819" spans="14:14" ht="12.75" customHeight="1" x14ac:dyDescent="0.2">
      <c r="N819" s="32"/>
    </row>
    <row r="820" spans="14:14" ht="12.75" customHeight="1" x14ac:dyDescent="0.2">
      <c r="N820" s="32"/>
    </row>
    <row r="821" spans="14:14" ht="12.75" customHeight="1" x14ac:dyDescent="0.2">
      <c r="N821" s="32"/>
    </row>
    <row r="822" spans="14:14" ht="12.75" customHeight="1" x14ac:dyDescent="0.2">
      <c r="N822" s="32"/>
    </row>
    <row r="823" spans="14:14" ht="12.75" customHeight="1" x14ac:dyDescent="0.2">
      <c r="N823" s="32"/>
    </row>
    <row r="824" spans="14:14" ht="12.75" customHeight="1" x14ac:dyDescent="0.2">
      <c r="N824" s="32"/>
    </row>
    <row r="825" spans="14:14" ht="12.75" customHeight="1" x14ac:dyDescent="0.2">
      <c r="N825" s="32"/>
    </row>
    <row r="826" spans="14:14" ht="12.75" customHeight="1" x14ac:dyDescent="0.2">
      <c r="N826" s="32"/>
    </row>
    <row r="827" spans="14:14" ht="12.75" customHeight="1" x14ac:dyDescent="0.2">
      <c r="N827" s="32"/>
    </row>
    <row r="828" spans="14:14" ht="12.75" customHeight="1" x14ac:dyDescent="0.2">
      <c r="N828" s="32"/>
    </row>
    <row r="829" spans="14:14" ht="12.75" customHeight="1" x14ac:dyDescent="0.2">
      <c r="N829" s="32"/>
    </row>
    <row r="830" spans="14:14" ht="12.75" customHeight="1" x14ac:dyDescent="0.2">
      <c r="N830" s="32"/>
    </row>
    <row r="831" spans="14:14" ht="12.75" customHeight="1" x14ac:dyDescent="0.2">
      <c r="N831" s="32"/>
    </row>
    <row r="832" spans="14:14" ht="12.75" customHeight="1" x14ac:dyDescent="0.2">
      <c r="N832" s="32"/>
    </row>
    <row r="833" spans="14:14" ht="12.75" customHeight="1" x14ac:dyDescent="0.2">
      <c r="N833" s="32"/>
    </row>
    <row r="834" spans="14:14" ht="12.75" customHeight="1" x14ac:dyDescent="0.2">
      <c r="N834" s="32"/>
    </row>
    <row r="835" spans="14:14" ht="12.75" customHeight="1" x14ac:dyDescent="0.2">
      <c r="N835" s="32"/>
    </row>
    <row r="836" spans="14:14" ht="12.75" customHeight="1" x14ac:dyDescent="0.2">
      <c r="N836" s="32"/>
    </row>
    <row r="837" spans="14:14" ht="12.75" customHeight="1" x14ac:dyDescent="0.2">
      <c r="N837" s="32"/>
    </row>
    <row r="838" spans="14:14" ht="12.75" customHeight="1" x14ac:dyDescent="0.2">
      <c r="N838" s="32"/>
    </row>
    <row r="839" spans="14:14" ht="12.75" customHeight="1" x14ac:dyDescent="0.2">
      <c r="N839" s="32"/>
    </row>
    <row r="840" spans="14:14" ht="12.75" customHeight="1" x14ac:dyDescent="0.2">
      <c r="N840" s="32"/>
    </row>
    <row r="841" spans="14:14" ht="12.75" customHeight="1" x14ac:dyDescent="0.2">
      <c r="N841" s="32"/>
    </row>
    <row r="842" spans="14:14" ht="12.75" customHeight="1" x14ac:dyDescent="0.2">
      <c r="N842" s="32"/>
    </row>
    <row r="843" spans="14:14" ht="12.75" customHeight="1" x14ac:dyDescent="0.2">
      <c r="N843" s="32"/>
    </row>
    <row r="844" spans="14:14" ht="12.75" customHeight="1" x14ac:dyDescent="0.2">
      <c r="N844" s="32"/>
    </row>
    <row r="845" spans="14:14" ht="12.75" customHeight="1" x14ac:dyDescent="0.2">
      <c r="N845" s="32"/>
    </row>
    <row r="846" spans="14:14" ht="12.75" customHeight="1" x14ac:dyDescent="0.2">
      <c r="N846" s="32"/>
    </row>
    <row r="847" spans="14:14" ht="12.75" customHeight="1" x14ac:dyDescent="0.2">
      <c r="N847" s="32"/>
    </row>
    <row r="848" spans="14:14" ht="12.75" customHeight="1" x14ac:dyDescent="0.2">
      <c r="N848" s="32"/>
    </row>
    <row r="849" spans="14:14" ht="12.75" customHeight="1" x14ac:dyDescent="0.2">
      <c r="N849" s="32"/>
    </row>
    <row r="850" spans="14:14" ht="12.75" customHeight="1" x14ac:dyDescent="0.2">
      <c r="N850" s="32"/>
    </row>
    <row r="851" spans="14:14" ht="12.75" customHeight="1" x14ac:dyDescent="0.2">
      <c r="N851" s="32"/>
    </row>
    <row r="852" spans="14:14" ht="12.75" customHeight="1" x14ac:dyDescent="0.2">
      <c r="N852" s="32"/>
    </row>
    <row r="853" spans="14:14" ht="12.75" customHeight="1" x14ac:dyDescent="0.2">
      <c r="N853" s="32"/>
    </row>
    <row r="854" spans="14:14" ht="12.75" customHeight="1" x14ac:dyDescent="0.2">
      <c r="N854" s="32"/>
    </row>
    <row r="855" spans="14:14" ht="12.75" customHeight="1" x14ac:dyDescent="0.2">
      <c r="N855" s="32"/>
    </row>
    <row r="856" spans="14:14" ht="12.75" customHeight="1" x14ac:dyDescent="0.2">
      <c r="N856" s="32"/>
    </row>
    <row r="857" spans="14:14" ht="12.75" customHeight="1" x14ac:dyDescent="0.2">
      <c r="N857" s="32"/>
    </row>
    <row r="858" spans="14:14" ht="12.75" customHeight="1" x14ac:dyDescent="0.2">
      <c r="N858" s="32"/>
    </row>
    <row r="859" spans="14:14" ht="12.75" customHeight="1" x14ac:dyDescent="0.2">
      <c r="N859" s="32"/>
    </row>
    <row r="860" spans="14:14" ht="12.75" customHeight="1" x14ac:dyDescent="0.2">
      <c r="N860" s="32"/>
    </row>
    <row r="861" spans="14:14" ht="12.75" customHeight="1" x14ac:dyDescent="0.2">
      <c r="N861" s="32"/>
    </row>
    <row r="862" spans="14:14" ht="12.75" customHeight="1" x14ac:dyDescent="0.2">
      <c r="N862" s="32"/>
    </row>
    <row r="863" spans="14:14" ht="12.75" customHeight="1" x14ac:dyDescent="0.2">
      <c r="N863" s="32"/>
    </row>
    <row r="864" spans="14:14" ht="12.75" customHeight="1" x14ac:dyDescent="0.2">
      <c r="N864" s="32"/>
    </row>
    <row r="865" spans="14:14" ht="12.75" customHeight="1" x14ac:dyDescent="0.2">
      <c r="N865" s="32"/>
    </row>
    <row r="866" spans="14:14" ht="12.75" customHeight="1" x14ac:dyDescent="0.2">
      <c r="N866" s="32"/>
    </row>
    <row r="867" spans="14:14" ht="12.75" customHeight="1" x14ac:dyDescent="0.2">
      <c r="N867" s="32"/>
    </row>
    <row r="868" spans="14:14" ht="12.75" customHeight="1" x14ac:dyDescent="0.2">
      <c r="N868" s="32"/>
    </row>
    <row r="869" spans="14:14" ht="12.75" customHeight="1" x14ac:dyDescent="0.2">
      <c r="N869" s="32"/>
    </row>
    <row r="870" spans="14:14" ht="12.75" customHeight="1" x14ac:dyDescent="0.2">
      <c r="N870" s="32"/>
    </row>
    <row r="871" spans="14:14" ht="12.75" customHeight="1" x14ac:dyDescent="0.2">
      <c r="N871" s="32"/>
    </row>
    <row r="872" spans="14:14" ht="12.75" customHeight="1" x14ac:dyDescent="0.2">
      <c r="N872" s="32"/>
    </row>
    <row r="873" spans="14:14" ht="12.75" customHeight="1" x14ac:dyDescent="0.2">
      <c r="N873" s="32"/>
    </row>
    <row r="874" spans="14:14" ht="12.75" customHeight="1" x14ac:dyDescent="0.2">
      <c r="N874" s="32"/>
    </row>
    <row r="875" spans="14:14" ht="12.75" customHeight="1" x14ac:dyDescent="0.2">
      <c r="N875" s="32"/>
    </row>
    <row r="876" spans="14:14" ht="12.75" customHeight="1" x14ac:dyDescent="0.2">
      <c r="N876" s="32"/>
    </row>
    <row r="877" spans="14:14" ht="12.75" customHeight="1" x14ac:dyDescent="0.2">
      <c r="N877" s="32"/>
    </row>
    <row r="878" spans="14:14" ht="12.75" customHeight="1" x14ac:dyDescent="0.2">
      <c r="N878" s="32"/>
    </row>
    <row r="879" spans="14:14" ht="12.75" customHeight="1" x14ac:dyDescent="0.2">
      <c r="N879" s="32"/>
    </row>
    <row r="880" spans="14:14" ht="12.75" customHeight="1" x14ac:dyDescent="0.2">
      <c r="N880" s="32"/>
    </row>
    <row r="881" spans="14:14" ht="12.75" customHeight="1" x14ac:dyDescent="0.2">
      <c r="N881" s="32"/>
    </row>
    <row r="882" spans="14:14" ht="12.75" customHeight="1" x14ac:dyDescent="0.2">
      <c r="N882" s="32"/>
    </row>
    <row r="883" spans="14:14" ht="12.75" customHeight="1" x14ac:dyDescent="0.2">
      <c r="N883" s="32"/>
    </row>
    <row r="884" spans="14:14" ht="12.75" customHeight="1" x14ac:dyDescent="0.2">
      <c r="N884" s="32"/>
    </row>
    <row r="885" spans="14:14" ht="12.75" customHeight="1" x14ac:dyDescent="0.2">
      <c r="N885" s="32"/>
    </row>
    <row r="886" spans="14:14" ht="12.75" customHeight="1" x14ac:dyDescent="0.2">
      <c r="N886" s="32"/>
    </row>
    <row r="887" spans="14:14" ht="12.75" customHeight="1" x14ac:dyDescent="0.2">
      <c r="N887" s="32"/>
    </row>
    <row r="888" spans="14:14" ht="12.75" customHeight="1" x14ac:dyDescent="0.2">
      <c r="N888" s="32"/>
    </row>
    <row r="889" spans="14:14" ht="12.75" customHeight="1" x14ac:dyDescent="0.2">
      <c r="N889" s="32"/>
    </row>
    <row r="890" spans="14:14" ht="12.75" customHeight="1" x14ac:dyDescent="0.2">
      <c r="N890" s="32"/>
    </row>
    <row r="891" spans="14:14" ht="12.75" customHeight="1" x14ac:dyDescent="0.2">
      <c r="N891" s="32"/>
    </row>
    <row r="892" spans="14:14" ht="12.75" customHeight="1" x14ac:dyDescent="0.2">
      <c r="N892" s="32"/>
    </row>
    <row r="893" spans="14:14" ht="12.75" customHeight="1" x14ac:dyDescent="0.2">
      <c r="N893" s="32"/>
    </row>
    <row r="894" spans="14:14" ht="12.75" customHeight="1" x14ac:dyDescent="0.2">
      <c r="N894" s="32"/>
    </row>
    <row r="895" spans="14:14" ht="12.75" customHeight="1" x14ac:dyDescent="0.2">
      <c r="N895" s="32"/>
    </row>
    <row r="896" spans="14:14" ht="12.75" customHeight="1" x14ac:dyDescent="0.2">
      <c r="N896" s="32"/>
    </row>
    <row r="897" spans="14:14" ht="12.75" customHeight="1" x14ac:dyDescent="0.2">
      <c r="N897" s="32"/>
    </row>
    <row r="898" spans="14:14" ht="12.75" customHeight="1" x14ac:dyDescent="0.2">
      <c r="N898" s="32"/>
    </row>
    <row r="899" spans="14:14" ht="12.75" customHeight="1" x14ac:dyDescent="0.2">
      <c r="N899" s="32"/>
    </row>
    <row r="900" spans="14:14" ht="12.75" customHeight="1" x14ac:dyDescent="0.2">
      <c r="N900" s="32"/>
    </row>
    <row r="901" spans="14:14" ht="12.75" customHeight="1" x14ac:dyDescent="0.2">
      <c r="N901" s="32"/>
    </row>
    <row r="902" spans="14:14" ht="12.75" customHeight="1" x14ac:dyDescent="0.2">
      <c r="N902" s="32"/>
    </row>
    <row r="903" spans="14:14" ht="12.75" customHeight="1" x14ac:dyDescent="0.2">
      <c r="N903" s="32"/>
    </row>
    <row r="904" spans="14:14" ht="12.75" customHeight="1" x14ac:dyDescent="0.2">
      <c r="N904" s="32"/>
    </row>
    <row r="905" spans="14:14" ht="12.75" customHeight="1" x14ac:dyDescent="0.2">
      <c r="N905" s="32"/>
    </row>
    <row r="906" spans="14:14" ht="12.75" customHeight="1" x14ac:dyDescent="0.2">
      <c r="N906" s="32"/>
    </row>
    <row r="907" spans="14:14" ht="12.75" customHeight="1" x14ac:dyDescent="0.2">
      <c r="N907" s="32"/>
    </row>
    <row r="908" spans="14:14" ht="12.75" customHeight="1" x14ac:dyDescent="0.2">
      <c r="N908" s="32"/>
    </row>
    <row r="909" spans="14:14" ht="12.75" customHeight="1" x14ac:dyDescent="0.2">
      <c r="N909" s="32"/>
    </row>
    <row r="910" spans="14:14" ht="12.75" customHeight="1" x14ac:dyDescent="0.2">
      <c r="N910" s="32"/>
    </row>
    <row r="911" spans="14:14" ht="12.75" customHeight="1" x14ac:dyDescent="0.2">
      <c r="N911" s="32"/>
    </row>
    <row r="912" spans="14:14" ht="12.75" customHeight="1" x14ac:dyDescent="0.2">
      <c r="N912" s="32"/>
    </row>
    <row r="913" spans="14:14" ht="12.75" customHeight="1" x14ac:dyDescent="0.2">
      <c r="N913" s="32"/>
    </row>
    <row r="914" spans="14:14" ht="12.75" customHeight="1" x14ac:dyDescent="0.2">
      <c r="N914" s="32"/>
    </row>
    <row r="915" spans="14:14" ht="12.75" customHeight="1" x14ac:dyDescent="0.2">
      <c r="N915" s="32"/>
    </row>
    <row r="916" spans="14:14" ht="12.75" customHeight="1" x14ac:dyDescent="0.2">
      <c r="N916" s="32"/>
    </row>
    <row r="917" spans="14:14" ht="12.75" customHeight="1" x14ac:dyDescent="0.2">
      <c r="N917" s="32"/>
    </row>
    <row r="918" spans="14:14" ht="12.75" customHeight="1" x14ac:dyDescent="0.2">
      <c r="N918" s="32"/>
    </row>
    <row r="919" spans="14:14" ht="12.75" customHeight="1" x14ac:dyDescent="0.2">
      <c r="N919" s="32"/>
    </row>
    <row r="920" spans="14:14" ht="12.75" customHeight="1" x14ac:dyDescent="0.2">
      <c r="N920" s="32"/>
    </row>
    <row r="921" spans="14:14" ht="12.75" customHeight="1" x14ac:dyDescent="0.2">
      <c r="N921" s="32"/>
    </row>
    <row r="922" spans="14:14" ht="12.75" customHeight="1" x14ac:dyDescent="0.2">
      <c r="N922" s="32"/>
    </row>
    <row r="923" spans="14:14" ht="12.75" customHeight="1" x14ac:dyDescent="0.2">
      <c r="N923" s="32"/>
    </row>
    <row r="924" spans="14:14" ht="12.75" customHeight="1" x14ac:dyDescent="0.2">
      <c r="N924" s="32"/>
    </row>
    <row r="925" spans="14:14" ht="12.75" customHeight="1" x14ac:dyDescent="0.2">
      <c r="N925" s="32"/>
    </row>
    <row r="926" spans="14:14" ht="12.75" customHeight="1" x14ac:dyDescent="0.2">
      <c r="N926" s="32"/>
    </row>
    <row r="927" spans="14:14" ht="12.75" customHeight="1" x14ac:dyDescent="0.2">
      <c r="N927" s="32"/>
    </row>
    <row r="928" spans="14:14" ht="12.75" customHeight="1" x14ac:dyDescent="0.2">
      <c r="N928" s="32"/>
    </row>
    <row r="929" spans="14:14" ht="12.75" customHeight="1" x14ac:dyDescent="0.2">
      <c r="N929" s="32"/>
    </row>
    <row r="930" spans="14:14" ht="12.75" customHeight="1" x14ac:dyDescent="0.2">
      <c r="N930" s="32"/>
    </row>
    <row r="931" spans="14:14" ht="12.75" customHeight="1" x14ac:dyDescent="0.2">
      <c r="N931" s="32"/>
    </row>
    <row r="932" spans="14:14" ht="12.75" customHeight="1" x14ac:dyDescent="0.2">
      <c r="N932" s="32"/>
    </row>
    <row r="933" spans="14:14" ht="12.75" customHeight="1" x14ac:dyDescent="0.2">
      <c r="N933" s="32"/>
    </row>
    <row r="934" spans="14:14" ht="12.75" customHeight="1" x14ac:dyDescent="0.2">
      <c r="N934" s="32"/>
    </row>
    <row r="935" spans="14:14" ht="12.75" customHeight="1" x14ac:dyDescent="0.2">
      <c r="N935" s="32"/>
    </row>
    <row r="936" spans="14:14" ht="12.75" customHeight="1" x14ac:dyDescent="0.2">
      <c r="N936" s="32"/>
    </row>
    <row r="937" spans="14:14" ht="12.75" customHeight="1" x14ac:dyDescent="0.2">
      <c r="N937" s="32"/>
    </row>
    <row r="938" spans="14:14" ht="12.75" customHeight="1" x14ac:dyDescent="0.2">
      <c r="N938" s="32"/>
    </row>
    <row r="939" spans="14:14" ht="12.75" customHeight="1" x14ac:dyDescent="0.2">
      <c r="N939" s="32"/>
    </row>
    <row r="940" spans="14:14" ht="12.75" customHeight="1" x14ac:dyDescent="0.2">
      <c r="N940" s="32"/>
    </row>
    <row r="941" spans="14:14" ht="12.75" customHeight="1" x14ac:dyDescent="0.2">
      <c r="N941" s="32"/>
    </row>
    <row r="942" spans="14:14" ht="12.75" customHeight="1" x14ac:dyDescent="0.2">
      <c r="N942" s="32"/>
    </row>
    <row r="943" spans="14:14" ht="12.75" customHeight="1" x14ac:dyDescent="0.2">
      <c r="N943" s="32"/>
    </row>
    <row r="944" spans="14:14" ht="12.75" customHeight="1" x14ac:dyDescent="0.2">
      <c r="N944" s="32"/>
    </row>
    <row r="945" spans="14:14" ht="12.75" customHeight="1" x14ac:dyDescent="0.2">
      <c r="N945" s="32"/>
    </row>
    <row r="946" spans="14:14" ht="12.75" customHeight="1" x14ac:dyDescent="0.2">
      <c r="N946" s="32"/>
    </row>
    <row r="947" spans="14:14" ht="12.75" customHeight="1" x14ac:dyDescent="0.2">
      <c r="N947" s="32"/>
    </row>
    <row r="948" spans="14:14" ht="12.75" customHeight="1" x14ac:dyDescent="0.2">
      <c r="N948" s="32"/>
    </row>
    <row r="949" spans="14:14" ht="12.75" customHeight="1" x14ac:dyDescent="0.2">
      <c r="N949" s="32"/>
    </row>
    <row r="950" spans="14:14" ht="12.75" customHeight="1" x14ac:dyDescent="0.2">
      <c r="N950" s="32"/>
    </row>
    <row r="951" spans="14:14" ht="12.75" customHeight="1" x14ac:dyDescent="0.2">
      <c r="N951" s="32"/>
    </row>
    <row r="952" spans="14:14" ht="12.75" customHeight="1" x14ac:dyDescent="0.2">
      <c r="N952" s="32"/>
    </row>
    <row r="953" spans="14:14" ht="12.75" customHeight="1" x14ac:dyDescent="0.2">
      <c r="N953" s="32"/>
    </row>
    <row r="954" spans="14:14" ht="12.75" customHeight="1" x14ac:dyDescent="0.2">
      <c r="N954" s="32"/>
    </row>
    <row r="955" spans="14:14" ht="12.75" customHeight="1" x14ac:dyDescent="0.2">
      <c r="N955" s="32"/>
    </row>
    <row r="956" spans="14:14" ht="12.75" customHeight="1" x14ac:dyDescent="0.2">
      <c r="N956" s="32"/>
    </row>
    <row r="957" spans="14:14" ht="12.75" customHeight="1" x14ac:dyDescent="0.2">
      <c r="N957" s="32"/>
    </row>
    <row r="958" spans="14:14" ht="12.75" customHeight="1" x14ac:dyDescent="0.2">
      <c r="N958" s="32"/>
    </row>
    <row r="959" spans="14:14" ht="12.75" customHeight="1" x14ac:dyDescent="0.2">
      <c r="N959" s="32"/>
    </row>
    <row r="960" spans="14:14" ht="12.75" customHeight="1" x14ac:dyDescent="0.2">
      <c r="N960" s="32"/>
    </row>
    <row r="961" spans="14:14" ht="12.75" customHeight="1" x14ac:dyDescent="0.2">
      <c r="N961" s="32"/>
    </row>
    <row r="962" spans="14:14" ht="12.75" customHeight="1" x14ac:dyDescent="0.2">
      <c r="N962" s="32"/>
    </row>
    <row r="963" spans="14:14" ht="12.75" customHeight="1" x14ac:dyDescent="0.2">
      <c r="N963" s="32"/>
    </row>
    <row r="964" spans="14:14" ht="12.75" customHeight="1" x14ac:dyDescent="0.2">
      <c r="N964" s="32"/>
    </row>
    <row r="965" spans="14:14" ht="12.75" customHeight="1" x14ac:dyDescent="0.2">
      <c r="N965" s="32"/>
    </row>
    <row r="966" spans="14:14" ht="12.75" customHeight="1" x14ac:dyDescent="0.2">
      <c r="N966" s="32"/>
    </row>
    <row r="967" spans="14:14" ht="12.75" customHeight="1" x14ac:dyDescent="0.2">
      <c r="N967" s="32"/>
    </row>
    <row r="968" spans="14:14" ht="12.75" customHeight="1" x14ac:dyDescent="0.2">
      <c r="N968" s="32"/>
    </row>
    <row r="969" spans="14:14" ht="12.75" customHeight="1" x14ac:dyDescent="0.2">
      <c r="N969" s="32"/>
    </row>
    <row r="970" spans="14:14" ht="12.75" customHeight="1" x14ac:dyDescent="0.2">
      <c r="N970" s="32"/>
    </row>
    <row r="971" spans="14:14" ht="12.75" customHeight="1" x14ac:dyDescent="0.2">
      <c r="N971" s="32"/>
    </row>
    <row r="972" spans="14:14" ht="12.75" customHeight="1" x14ac:dyDescent="0.2">
      <c r="N972" s="32"/>
    </row>
    <row r="973" spans="14:14" ht="12.75" customHeight="1" x14ac:dyDescent="0.2">
      <c r="N973" s="32"/>
    </row>
    <row r="974" spans="14:14" ht="12.75" customHeight="1" x14ac:dyDescent="0.2">
      <c r="N974" s="32"/>
    </row>
    <row r="975" spans="14:14" ht="12.75" customHeight="1" x14ac:dyDescent="0.2">
      <c r="N975" s="32"/>
    </row>
    <row r="976" spans="14:14" ht="12.75" customHeight="1" x14ac:dyDescent="0.2">
      <c r="N976" s="32"/>
    </row>
    <row r="977" spans="14:14" ht="12.75" customHeight="1" x14ac:dyDescent="0.2">
      <c r="N977" s="32"/>
    </row>
    <row r="978" spans="14:14" ht="12.75" customHeight="1" x14ac:dyDescent="0.2">
      <c r="N978" s="32"/>
    </row>
    <row r="979" spans="14:14" ht="12.75" customHeight="1" x14ac:dyDescent="0.2">
      <c r="N979" s="32"/>
    </row>
    <row r="980" spans="14:14" ht="12.75" customHeight="1" x14ac:dyDescent="0.2">
      <c r="N980" s="32"/>
    </row>
    <row r="981" spans="14:14" ht="12.75" customHeight="1" x14ac:dyDescent="0.2">
      <c r="N981" s="32"/>
    </row>
    <row r="982" spans="14:14" ht="12.75" customHeight="1" x14ac:dyDescent="0.2">
      <c r="N982" s="32"/>
    </row>
    <row r="983" spans="14:14" ht="12.75" customHeight="1" x14ac:dyDescent="0.2">
      <c r="N983" s="32"/>
    </row>
    <row r="984" spans="14:14" ht="12.75" customHeight="1" x14ac:dyDescent="0.2">
      <c r="N984" s="32"/>
    </row>
    <row r="985" spans="14:14" ht="12.75" customHeight="1" x14ac:dyDescent="0.2">
      <c r="N985" s="32"/>
    </row>
    <row r="986" spans="14:14" ht="12.75" customHeight="1" x14ac:dyDescent="0.2">
      <c r="N986" s="32"/>
    </row>
    <row r="987" spans="14:14" ht="12.75" customHeight="1" x14ac:dyDescent="0.2">
      <c r="N987" s="32"/>
    </row>
    <row r="988" spans="14:14" ht="12.75" customHeight="1" x14ac:dyDescent="0.2">
      <c r="N988" s="32"/>
    </row>
    <row r="989" spans="14:14" ht="12.75" customHeight="1" x14ac:dyDescent="0.2">
      <c r="N989" s="32"/>
    </row>
    <row r="990" spans="14:14" ht="12.75" customHeight="1" x14ac:dyDescent="0.2">
      <c r="N990" s="32"/>
    </row>
    <row r="991" spans="14:14" ht="12.75" customHeight="1" x14ac:dyDescent="0.2">
      <c r="N991" s="32"/>
    </row>
    <row r="992" spans="14:14" ht="12.75" customHeight="1" x14ac:dyDescent="0.2">
      <c r="N992" s="32"/>
    </row>
    <row r="993" spans="14:14" ht="12.75" customHeight="1" x14ac:dyDescent="0.2">
      <c r="N993" s="32"/>
    </row>
    <row r="994" spans="14:14" ht="12.75" customHeight="1" x14ac:dyDescent="0.2">
      <c r="N994" s="32"/>
    </row>
    <row r="995" spans="14:14" ht="12.75" customHeight="1" x14ac:dyDescent="0.2">
      <c r="N995" s="32"/>
    </row>
    <row r="996" spans="14:14" ht="12.75" customHeight="1" x14ac:dyDescent="0.2">
      <c r="N996" s="32"/>
    </row>
    <row r="997" spans="14:14" ht="12.75" customHeight="1" x14ac:dyDescent="0.2">
      <c r="N997" s="32"/>
    </row>
    <row r="998" spans="14:14" ht="12.75" customHeight="1" x14ac:dyDescent="0.2">
      <c r="N998" s="32"/>
    </row>
    <row r="999" spans="14:14" ht="12.75" customHeight="1" x14ac:dyDescent="0.2">
      <c r="N999" s="32"/>
    </row>
    <row r="1000" spans="14:14" ht="12.75" customHeight="1" x14ac:dyDescent="0.2">
      <c r="N1000" s="32"/>
    </row>
    <row r="1001" spans="14:14" ht="12.75" customHeight="1" x14ac:dyDescent="0.2">
      <c r="N1001" s="32"/>
    </row>
    <row r="1002" spans="14:14" ht="12.75" customHeight="1" x14ac:dyDescent="0.2">
      <c r="N1002" s="32"/>
    </row>
    <row r="1003" spans="14:14" ht="12.75" customHeight="1" x14ac:dyDescent="0.2">
      <c r="N1003" s="32"/>
    </row>
    <row r="1004" spans="14:14" ht="12.75" customHeight="1" x14ac:dyDescent="0.2">
      <c r="N1004" s="32"/>
    </row>
  </sheetData>
  <mergeCells count="11">
    <mergeCell ref="L1:L2"/>
    <mergeCell ref="M1:M2"/>
    <mergeCell ref="N1:N2"/>
    <mergeCell ref="O1:O2"/>
    <mergeCell ref="A1:A2"/>
    <mergeCell ref="B1:B2"/>
    <mergeCell ref="C1:C2"/>
    <mergeCell ref="E1:E2"/>
    <mergeCell ref="F1:F2"/>
    <mergeCell ref="G1:G2"/>
    <mergeCell ref="I1:J2"/>
  </mergeCells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A16" sqref="A16"/>
    </sheetView>
  </sheetViews>
  <sheetFormatPr baseColWidth="10" defaultRowHeight="15" customHeight="1" x14ac:dyDescent="0.2"/>
  <cols>
    <col min="1" max="1" width="14.28515625" style="98" bestFit="1" customWidth="1"/>
    <col min="2" max="2" width="12.85546875" style="98" bestFit="1" customWidth="1"/>
    <col min="3" max="3" width="14.42578125" style="98" bestFit="1" customWidth="1"/>
    <col min="4" max="5" width="15.42578125" style="98" bestFit="1" customWidth="1"/>
    <col min="6" max="6" width="11.42578125" style="98"/>
    <col min="7" max="7" width="15.42578125" style="98" bestFit="1" customWidth="1"/>
    <col min="8" max="8" width="11.42578125" style="98"/>
    <col min="9" max="9" width="16.5703125" style="98" bestFit="1" customWidth="1"/>
    <col min="10" max="10" width="12.85546875" style="98" bestFit="1" customWidth="1"/>
    <col min="11" max="16384" width="11.42578125" style="98"/>
  </cols>
  <sheetData>
    <row r="1" spans="1:10" ht="12.75" x14ac:dyDescent="0.2"/>
    <row r="2" spans="1:10" ht="12.75" x14ac:dyDescent="0.2">
      <c r="A2" s="100" t="s">
        <v>219</v>
      </c>
      <c r="B2" s="101"/>
    </row>
    <row r="3" spans="1:10" ht="13.5" thickBot="1" x14ac:dyDescent="0.25">
      <c r="A3" s="102">
        <f>8.36*21.36</f>
        <v>178.56959999999998</v>
      </c>
      <c r="B3" s="103" t="s">
        <v>43</v>
      </c>
      <c r="E3" s="199" t="s">
        <v>58</v>
      </c>
      <c r="F3" s="199"/>
      <c r="G3" s="199"/>
      <c r="H3" s="199"/>
    </row>
    <row r="4" spans="1:10" ht="13.5" thickTop="1" x14ac:dyDescent="0.2">
      <c r="A4" s="102">
        <f t="shared" ref="A4:A7" si="0">17.2*8.66+1.65*1.1*2+1.5*8.36</f>
        <v>165.12199999999999</v>
      </c>
      <c r="B4" s="103" t="s">
        <v>59</v>
      </c>
      <c r="E4" s="104" t="s">
        <v>60</v>
      </c>
      <c r="F4" s="104">
        <v>66.8</v>
      </c>
      <c r="G4" s="104">
        <v>0.11</v>
      </c>
      <c r="H4" s="104">
        <f t="shared" ref="H4:H9" si="1">+C$18*G4</f>
        <v>57.250564799999992</v>
      </c>
      <c r="J4" s="98" t="s">
        <v>210</v>
      </c>
    </row>
    <row r="5" spans="1:10" ht="12.75" x14ac:dyDescent="0.2">
      <c r="A5" s="102">
        <f t="shared" si="0"/>
        <v>165.12199999999999</v>
      </c>
      <c r="B5" s="103" t="s">
        <v>61</v>
      </c>
      <c r="C5" s="98">
        <f>+A5*0.25</f>
        <v>41.280499999999996</v>
      </c>
      <c r="D5" s="98">
        <f>+C5*G7</f>
        <v>10.320124999999999</v>
      </c>
      <c r="E5" s="105" t="s">
        <v>62</v>
      </c>
      <c r="F5" s="105">
        <v>31.3</v>
      </c>
      <c r="G5" s="105">
        <v>0.06</v>
      </c>
      <c r="H5" s="105">
        <f t="shared" si="1"/>
        <v>31.227580799999995</v>
      </c>
    </row>
    <row r="6" spans="1:10" ht="12.75" x14ac:dyDescent="0.2">
      <c r="A6" s="102">
        <f t="shared" si="0"/>
        <v>165.12199999999999</v>
      </c>
      <c r="B6" s="103" t="s">
        <v>63</v>
      </c>
      <c r="E6" s="105" t="s">
        <v>65</v>
      </c>
      <c r="F6" s="105">
        <v>9.4</v>
      </c>
      <c r="G6" s="105">
        <v>0.04</v>
      </c>
      <c r="H6" s="105">
        <f t="shared" si="1"/>
        <v>20.818387199999997</v>
      </c>
    </row>
    <row r="7" spans="1:10" ht="12.75" x14ac:dyDescent="0.2">
      <c r="A7" s="102">
        <f t="shared" si="0"/>
        <v>165.12199999999999</v>
      </c>
      <c r="B7" s="103" t="s">
        <v>64</v>
      </c>
      <c r="E7" s="105" t="s">
        <v>67</v>
      </c>
      <c r="F7" s="105">
        <v>105.18675300000001</v>
      </c>
      <c r="G7" s="105">
        <v>0.25</v>
      </c>
      <c r="H7" s="105">
        <f t="shared" si="1"/>
        <v>130.11491999999998</v>
      </c>
      <c r="I7" s="102"/>
    </row>
    <row r="8" spans="1:10" ht="12.75" x14ac:dyDescent="0.2">
      <c r="A8" s="102">
        <f>16.7*8.66+1.65*1.65*2+1.5*8.36</f>
        <v>162.60699999999997</v>
      </c>
      <c r="B8" s="103" t="s">
        <v>66</v>
      </c>
      <c r="E8" s="105" t="s">
        <v>69</v>
      </c>
      <c r="F8" s="105">
        <v>99.93224115000001</v>
      </c>
      <c r="G8" s="105">
        <v>0.19</v>
      </c>
      <c r="H8" s="105">
        <f t="shared" si="1"/>
        <v>98.887339199999985</v>
      </c>
    </row>
    <row r="9" spans="1:10" ht="13.5" thickBot="1" x14ac:dyDescent="0.25">
      <c r="A9" s="102">
        <f>15.8*8.66+1.65*2.55*2+0.9*5.36+1.5*8.36</f>
        <v>162.607</v>
      </c>
      <c r="B9" s="103" t="s">
        <v>68</v>
      </c>
      <c r="E9" s="106" t="s">
        <v>72</v>
      </c>
      <c r="F9" s="106">
        <v>162.59301450000001</v>
      </c>
      <c r="G9" s="106">
        <v>0.35</v>
      </c>
      <c r="H9" s="106">
        <f t="shared" si="1"/>
        <v>182.16088799999997</v>
      </c>
    </row>
    <row r="10" spans="1:10" ht="13.5" thickTop="1" x14ac:dyDescent="0.2">
      <c r="A10" s="102">
        <f>14.8*8.66+0.9*8.66+1.5*8.36</f>
        <v>148.50200000000001</v>
      </c>
      <c r="B10" s="103" t="s">
        <v>173</v>
      </c>
      <c r="E10" s="102"/>
      <c r="F10" s="107">
        <f>SUM(F4:F9)</f>
        <v>475.21200865000003</v>
      </c>
      <c r="G10" s="104">
        <f>SUM(G4:G9)</f>
        <v>0.99999999999999989</v>
      </c>
      <c r="H10" s="107">
        <f>SUM(H4:H9)</f>
        <v>520.45967999999993</v>
      </c>
      <c r="I10" s="108"/>
    </row>
    <row r="11" spans="1:10" ht="12.75" x14ac:dyDescent="0.2">
      <c r="A11" s="102">
        <f>14*8.66+0.9*8.66+1.5*8.36</f>
        <v>141.57400000000001</v>
      </c>
      <c r="B11" s="103" t="s">
        <v>174</v>
      </c>
      <c r="I11" s="108"/>
    </row>
    <row r="12" spans="1:10" ht="12.75" x14ac:dyDescent="0.2">
      <c r="A12" s="102">
        <f>13.1*8.66+0.9*8.66+1.5*8.36</f>
        <v>133.78</v>
      </c>
      <c r="B12" s="103" t="s">
        <v>175</v>
      </c>
    </row>
    <row r="13" spans="1:10" ht="12.75" x14ac:dyDescent="0.2">
      <c r="A13" s="102">
        <f>10.3*8.66+1.5*8.36</f>
        <v>101.738</v>
      </c>
      <c r="B13" s="103" t="s">
        <v>176</v>
      </c>
    </row>
    <row r="14" spans="1:10" ht="12.75" x14ac:dyDescent="0.2">
      <c r="A14" s="102">
        <f>4.8*5.5+2*3</f>
        <v>32.4</v>
      </c>
      <c r="B14" s="103" t="s">
        <v>70</v>
      </c>
      <c r="E14" s="98" t="s">
        <v>210</v>
      </c>
      <c r="H14" s="99">
        <f>+H4/(3.1416*0.2*0.2)*1.15</f>
        <v>523.92212184873938</v>
      </c>
      <c r="I14" s="98">
        <f>8000*1.2*1.21</f>
        <v>11616</v>
      </c>
      <c r="J14" s="130">
        <f>+I14*H14</f>
        <v>6085879.3673949568</v>
      </c>
    </row>
    <row r="15" spans="1:10" ht="12.75" x14ac:dyDescent="0.2">
      <c r="A15" s="109">
        <f>4.2*3</f>
        <v>12.600000000000001</v>
      </c>
      <c r="B15" s="110" t="s">
        <v>71</v>
      </c>
      <c r="E15" s="98" t="s">
        <v>220</v>
      </c>
      <c r="H15" s="99">
        <f>+(H5+H6)*1.2*1.25</f>
        <v>78.068951999999982</v>
      </c>
      <c r="J15" s="115">
        <f>+(16000*3*10)*1.2*1.21</f>
        <v>696960</v>
      </c>
    </row>
    <row r="16" spans="1:10" ht="12.75" x14ac:dyDescent="0.2">
      <c r="A16" s="111">
        <f>SUM(A3:A15)</f>
        <v>1734.8655999999999</v>
      </c>
      <c r="B16" s="112"/>
      <c r="J16" s="119">
        <f>+J15</f>
        <v>696960</v>
      </c>
    </row>
    <row r="17" spans="1:10" ht="12.75" customHeight="1" x14ac:dyDescent="0.2">
      <c r="J17" s="130">
        <f>SUM(J14:J16)</f>
        <v>7479799.3673949568</v>
      </c>
    </row>
    <row r="18" spans="1:10" ht="12.75" customHeight="1" x14ac:dyDescent="0.2">
      <c r="A18" s="111">
        <f>SUM(A16:A16)</f>
        <v>1734.8655999999999</v>
      </c>
      <c r="B18" s="113">
        <v>0.3</v>
      </c>
      <c r="C18" s="114">
        <f>+A18*B18</f>
        <v>520.45967999999993</v>
      </c>
      <c r="J18" s="130">
        <f>+J17/H14</f>
        <v>14276.548088867368</v>
      </c>
    </row>
    <row r="19" spans="1:10" ht="12.75" customHeight="1" x14ac:dyDescent="0.2">
      <c r="E19" s="98" t="s">
        <v>230</v>
      </c>
      <c r="F19" s="98">
        <f>80600*1.1*1.21</f>
        <v>107278.59999999999</v>
      </c>
      <c r="G19" s="115">
        <f>+F19*H10+F21*H10+F20*13</f>
        <v>65700975.910238221</v>
      </c>
    </row>
    <row r="20" spans="1:10" ht="12.75" customHeight="1" x14ac:dyDescent="0.2">
      <c r="E20" s="98" t="s">
        <v>231</v>
      </c>
      <c r="F20" s="98">
        <f>325900*1.1*1.21</f>
        <v>433772.89999999997</v>
      </c>
      <c r="G20" s="115">
        <f>+G19/H10</f>
        <v>126236.43758578615</v>
      </c>
      <c r="I20" s="115"/>
    </row>
    <row r="21" spans="1:10" ht="12.75" customHeight="1" x14ac:dyDescent="0.2">
      <c r="E21" s="98" t="s">
        <v>232</v>
      </c>
      <c r="F21" s="98">
        <f>+(4717+1386)*1.1*1.21</f>
        <v>8123.0929999999998</v>
      </c>
    </row>
    <row r="22" spans="1:10" ht="12.75" customHeight="1" x14ac:dyDescent="0.2"/>
    <row r="23" spans="1:10" ht="12.75" customHeight="1" x14ac:dyDescent="0.2"/>
    <row r="24" spans="1:10" ht="12.75" customHeight="1" x14ac:dyDescent="0.2"/>
    <row r="25" spans="1:10" ht="12.75" customHeight="1" x14ac:dyDescent="0.2"/>
    <row r="26" spans="1:10" ht="12.75" customHeight="1" x14ac:dyDescent="0.2"/>
    <row r="27" spans="1:10" ht="12.75" customHeight="1" x14ac:dyDescent="0.2"/>
    <row r="28" spans="1:10" ht="12.75" customHeight="1" x14ac:dyDescent="0.2"/>
    <row r="29" spans="1:10" ht="12.75" customHeight="1" x14ac:dyDescent="0.2"/>
    <row r="30" spans="1:10" ht="12.75" customHeight="1" x14ac:dyDescent="0.2"/>
    <row r="31" spans="1:10" ht="12.75" customHeight="1" x14ac:dyDescent="0.2">
      <c r="A31" s="30" t="s">
        <v>211</v>
      </c>
      <c r="B31" s="30">
        <v>2283.729301235122</v>
      </c>
      <c r="C31" s="87">
        <v>944.77499999999998</v>
      </c>
      <c r="D31" s="116">
        <f>+C31*B31</f>
        <v>2157610.3505744124</v>
      </c>
      <c r="E31" s="87"/>
    </row>
    <row r="32" spans="1:10" ht="12.75" customHeight="1" x14ac:dyDescent="0.2">
      <c r="A32" s="30" t="s">
        <v>212</v>
      </c>
      <c r="B32" s="30">
        <v>1934.5854972628113</v>
      </c>
      <c r="C32" s="87">
        <v>1268.54</v>
      </c>
      <c r="D32" s="116">
        <f t="shared" ref="D32:D38" si="2">+C32*B32</f>
        <v>2454099.0866977666</v>
      </c>
      <c r="E32" s="87"/>
    </row>
    <row r="33" spans="1:5" ht="12.75" customHeight="1" x14ac:dyDescent="0.2">
      <c r="A33" s="30" t="s">
        <v>213</v>
      </c>
      <c r="B33" s="30">
        <v>86.865929857565163</v>
      </c>
      <c r="C33" s="116">
        <v>7750</v>
      </c>
      <c r="D33" s="116">
        <f t="shared" si="2"/>
        <v>673210.95639613003</v>
      </c>
      <c r="E33" s="118">
        <f>+(C33)*15226.8/2399.4</f>
        <v>49182.170542635657</v>
      </c>
    </row>
    <row r="34" spans="1:5" ht="12.75" customHeight="1" x14ac:dyDescent="0.2">
      <c r="A34" s="30" t="s">
        <v>214</v>
      </c>
      <c r="B34" s="30">
        <v>161.03752351518412</v>
      </c>
      <c r="C34" s="116">
        <v>15000</v>
      </c>
      <c r="D34" s="116">
        <f t="shared" si="2"/>
        <v>2415562.852727762</v>
      </c>
      <c r="E34" s="118">
        <f>+(C34)*15226.8/2399.4</f>
        <v>95191.297824456109</v>
      </c>
    </row>
    <row r="35" spans="1:5" ht="12.75" customHeight="1" x14ac:dyDescent="0.2">
      <c r="A35" s="30" t="s">
        <v>215</v>
      </c>
      <c r="B35" s="30">
        <v>301.10000000000002</v>
      </c>
      <c r="C35" s="116">
        <v>570.17999999999995</v>
      </c>
      <c r="D35" s="116">
        <f t="shared" si="2"/>
        <v>171681.198</v>
      </c>
      <c r="E35" s="87"/>
    </row>
    <row r="36" spans="1:5" ht="12.75" customHeight="1" x14ac:dyDescent="0.2">
      <c r="A36" s="30" t="s">
        <v>216</v>
      </c>
      <c r="B36" s="30">
        <v>1437.35</v>
      </c>
      <c r="C36" s="116">
        <v>762.44999999999993</v>
      </c>
      <c r="D36" s="116">
        <f t="shared" si="2"/>
        <v>1095907.5074999998</v>
      </c>
      <c r="E36" s="87"/>
    </row>
    <row r="37" spans="1:5" ht="12.75" customHeight="1" x14ac:dyDescent="0.2">
      <c r="A37" s="30" t="s">
        <v>217</v>
      </c>
      <c r="B37" s="30">
        <v>1.1000000000000001</v>
      </c>
      <c r="C37" s="116">
        <v>127500</v>
      </c>
      <c r="D37" s="116">
        <f t="shared" si="2"/>
        <v>140250</v>
      </c>
      <c r="E37" s="87"/>
    </row>
    <row r="38" spans="1:5" ht="12.75" customHeight="1" x14ac:dyDescent="0.2">
      <c r="A38" s="30" t="s">
        <v>218</v>
      </c>
      <c r="B38" s="30">
        <v>400</v>
      </c>
      <c r="C38" s="116">
        <v>424.32</v>
      </c>
      <c r="D38" s="117">
        <f t="shared" si="2"/>
        <v>169728</v>
      </c>
      <c r="E38" s="87"/>
    </row>
    <row r="39" spans="1:5" ht="12.75" customHeight="1" x14ac:dyDescent="0.2">
      <c r="B39" s="30"/>
      <c r="C39" s="87"/>
      <c r="D39" s="116">
        <f>SUM(D31:D38)</f>
        <v>9278049.9518960696</v>
      </c>
      <c r="E39" s="116">
        <f>SUM(D33:D38)</f>
        <v>4666340.5146238916</v>
      </c>
    </row>
    <row r="40" spans="1:5" ht="12.75" customHeight="1" x14ac:dyDescent="0.2">
      <c r="B40" s="30"/>
      <c r="C40" s="87"/>
      <c r="D40" s="118">
        <f>+(D39/644)*15226.8/2399.4</f>
        <v>91427.496501151079</v>
      </c>
      <c r="E40" s="118">
        <f>+(E39/644)*15226.8/2399.4</f>
        <v>45982.92025651021</v>
      </c>
    </row>
    <row r="41" spans="1:5" ht="12.75" customHeight="1" x14ac:dyDescent="0.2">
      <c r="C41" s="119"/>
      <c r="D41" s="119"/>
      <c r="E41" s="108">
        <f>+E40*(H7+H8+H9)</f>
        <v>18906482.210113365</v>
      </c>
    </row>
    <row r="42" spans="1:5" ht="12.75" customHeight="1" x14ac:dyDescent="0.2"/>
    <row r="43" spans="1:5" ht="12.75" customHeight="1" x14ac:dyDescent="0.2">
      <c r="E43" s="118">
        <f>+(E39)*14214.4/2399.4</f>
        <v>27644090.443890072</v>
      </c>
    </row>
    <row r="44" spans="1:5" ht="12.75" customHeight="1" x14ac:dyDescent="0.2">
      <c r="E44" s="118">
        <f>+(D39)*14214.4/2399.4</f>
        <v>54964538.316342205</v>
      </c>
    </row>
    <row r="45" spans="1:5" ht="12.75" customHeight="1" x14ac:dyDescent="0.2"/>
    <row r="46" spans="1:5" ht="12.75" customHeight="1" x14ac:dyDescent="0.2"/>
    <row r="47" spans="1:5" ht="12.75" customHeight="1" x14ac:dyDescent="0.2"/>
    <row r="48" spans="1: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E3:H3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3"/>
  <sheetViews>
    <sheetView workbookViewId="0">
      <selection activeCell="H5" sqref="H5"/>
    </sheetView>
  </sheetViews>
  <sheetFormatPr baseColWidth="10" defaultColWidth="14.42578125" defaultRowHeight="15" customHeight="1" x14ac:dyDescent="0.2"/>
  <cols>
    <col min="1" max="1" width="12.85546875" customWidth="1"/>
    <col min="2" max="2" width="14" customWidth="1"/>
    <col min="3" max="3" width="12.85546875" customWidth="1"/>
    <col min="4" max="4" width="14.42578125" customWidth="1"/>
    <col min="5" max="5" width="14.42578125" style="65" bestFit="1" customWidth="1"/>
    <col min="6" max="6" width="15.42578125" style="65" bestFit="1" customWidth="1"/>
    <col min="7" max="7" width="11.42578125" customWidth="1"/>
    <col min="8" max="8" width="14.42578125" style="65" bestFit="1" customWidth="1"/>
    <col min="9" max="9" width="15.42578125" bestFit="1" customWidth="1"/>
    <col min="10" max="11" width="14.42578125" bestFit="1" customWidth="1"/>
    <col min="12" max="26" width="10.7109375" customWidth="1"/>
  </cols>
  <sheetData>
    <row r="1" spans="1:26" ht="12.75" customHeight="1" x14ac:dyDescent="0.2">
      <c r="A1" s="32"/>
      <c r="B1" s="32"/>
      <c r="C1" s="57"/>
      <c r="D1" s="32"/>
      <c r="E1" s="64"/>
      <c r="F1" s="64"/>
      <c r="G1" s="32"/>
      <c r="H1" s="64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2.75" customHeight="1" x14ac:dyDescent="0.2">
      <c r="A2" s="57"/>
      <c r="B2" s="32"/>
      <c r="C2" s="57"/>
      <c r="D2" s="32"/>
      <c r="E2" s="64"/>
      <c r="F2" s="64"/>
      <c r="G2" s="32"/>
      <c r="H2" s="64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">
      <c r="A3" s="32" t="s">
        <v>73</v>
      </c>
      <c r="B3" s="32"/>
      <c r="C3" s="57"/>
      <c r="D3" s="32"/>
      <c r="E3" s="64"/>
      <c r="F3" s="64"/>
      <c r="G3" s="32"/>
      <c r="H3" s="64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2.75" customHeight="1" x14ac:dyDescent="0.2">
      <c r="A4" s="32"/>
      <c r="B4" s="32" t="s">
        <v>74</v>
      </c>
      <c r="C4" s="57"/>
      <c r="D4" s="57">
        <f>586425*1.21</f>
        <v>709574.25</v>
      </c>
      <c r="E4" s="64">
        <f>+D4/18</f>
        <v>39420.791666666664</v>
      </c>
      <c r="F4" s="64">
        <f>+E4*45*1.2</f>
        <v>2128722.75</v>
      </c>
      <c r="G4" s="32"/>
      <c r="H4" s="64">
        <f>+(68721+313322+386524+37486+317980+22835)*1.21*1.5</f>
        <v>2081565.42</v>
      </c>
      <c r="I4" s="32"/>
      <c r="J4" s="64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2.75" customHeight="1" x14ac:dyDescent="0.2">
      <c r="A5" s="32"/>
      <c r="B5" s="32" t="s">
        <v>75</v>
      </c>
      <c r="C5" s="57"/>
      <c r="D5" s="57">
        <f>(8513+21030+2823+20162+9362+9362+14274+14322)*1.21</f>
        <v>120816.08</v>
      </c>
      <c r="E5" s="64">
        <f t="shared" ref="E5:E7" si="0">+D5/18</f>
        <v>6712.0044444444447</v>
      </c>
      <c r="F5" s="64">
        <f>+E5*45*1.2</f>
        <v>362448.24</v>
      </c>
      <c r="G5" s="32"/>
      <c r="H5" s="64">
        <f>+E5*47*1.5</f>
        <v>473196.31333333335</v>
      </c>
      <c r="I5" s="32"/>
      <c r="J5" s="64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2.75" customHeight="1" x14ac:dyDescent="0.2">
      <c r="A6" s="32"/>
      <c r="B6" s="32" t="s">
        <v>76</v>
      </c>
      <c r="C6" s="57"/>
      <c r="D6" s="57"/>
      <c r="E6" s="64">
        <f t="shared" si="0"/>
        <v>0</v>
      </c>
      <c r="F6" s="64">
        <f t="shared" ref="F6:F7" si="1">+E6*45*1.2</f>
        <v>0</v>
      </c>
      <c r="G6" s="66" t="s">
        <v>206</v>
      </c>
      <c r="H6" s="64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2.75" customHeight="1" x14ac:dyDescent="0.2">
      <c r="A7" s="32"/>
      <c r="B7" s="32" t="s">
        <v>77</v>
      </c>
      <c r="C7" s="57"/>
      <c r="D7" s="58"/>
      <c r="E7" s="64">
        <f t="shared" si="0"/>
        <v>0</v>
      </c>
      <c r="F7" s="64">
        <f t="shared" si="1"/>
        <v>0</v>
      </c>
      <c r="G7" s="32"/>
      <c r="H7" s="84" t="e">
        <f>+#REF!</f>
        <v>#REF!</v>
      </c>
      <c r="I7" s="87" t="e">
        <f>+H7+H6</f>
        <v>#REF!</v>
      </c>
      <c r="J7" s="87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2.75" customHeight="1" x14ac:dyDescent="0.2">
      <c r="A8" s="32"/>
      <c r="B8" s="32"/>
      <c r="C8" s="57"/>
      <c r="D8" s="57">
        <f>SUM(D4:D7)</f>
        <v>830390.33</v>
      </c>
      <c r="E8" s="64"/>
      <c r="F8" s="57">
        <f>SUM(F4:F7)</f>
        <v>2491170.9900000002</v>
      </c>
      <c r="G8" s="32"/>
      <c r="H8" s="57" t="e">
        <f>SUM(H4:H7)</f>
        <v>#REF!</v>
      </c>
      <c r="I8" s="32"/>
      <c r="J8" s="57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2.75" customHeight="1" x14ac:dyDescent="0.2">
      <c r="A9" s="32"/>
      <c r="B9" s="32"/>
      <c r="C9" s="57"/>
      <c r="D9" s="57">
        <f>+D8*1.1</f>
        <v>913429.36300000001</v>
      </c>
      <c r="E9" s="64">
        <f>+D9/18</f>
        <v>50746.075722222224</v>
      </c>
      <c r="F9" s="57">
        <f>+F8*1.1</f>
        <v>2740288.0890000006</v>
      </c>
      <c r="G9" s="32"/>
      <c r="H9" s="57" t="e">
        <f>+H8*1.2</f>
        <v>#REF!</v>
      </c>
      <c r="I9" s="32" t="e">
        <f>+H9/47</f>
        <v>#REF!</v>
      </c>
      <c r="J9" s="5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s="85" customFormat="1" ht="12.75" customHeight="1" x14ac:dyDescent="0.2">
      <c r="A10" s="32"/>
      <c r="B10" s="32"/>
      <c r="C10" s="57"/>
      <c r="D10" s="57"/>
      <c r="E10" s="64"/>
      <c r="F10" s="57"/>
      <c r="G10" s="32"/>
      <c r="H10" s="57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s="85" customFormat="1" ht="12.75" customHeight="1" x14ac:dyDescent="0.2">
      <c r="A11" s="32" t="s">
        <v>168</v>
      </c>
      <c r="B11" s="32" t="s">
        <v>203</v>
      </c>
      <c r="C11" s="57"/>
      <c r="D11" s="57">
        <v>3885800</v>
      </c>
      <c r="E11" s="64">
        <f>+D11/47</f>
        <v>82676.595744680846</v>
      </c>
      <c r="F11" s="57"/>
      <c r="G11" s="32"/>
      <c r="H11" s="57">
        <f>+D11*1.105*1.5</f>
        <v>6440713.5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s="85" customFormat="1" ht="12.75" customHeight="1" x14ac:dyDescent="0.2">
      <c r="A12" s="32"/>
      <c r="B12" s="32"/>
      <c r="C12" s="57"/>
      <c r="D12" s="57">
        <f>+D11*1.21</f>
        <v>4701818</v>
      </c>
      <c r="E12" s="64"/>
      <c r="F12" s="57"/>
      <c r="G12" s="32"/>
      <c r="H12" s="57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2.75" customHeight="1" x14ac:dyDescent="0.2">
      <c r="A13" s="32"/>
      <c r="B13" s="59"/>
      <c r="C13" s="57"/>
      <c r="D13" s="57">
        <f>+D12*1.5</f>
        <v>7052727</v>
      </c>
      <c r="E13" s="64"/>
      <c r="F13" s="64"/>
      <c r="G13" s="32"/>
      <c r="H13" s="84" t="e">
        <f>+#REF!*1.5</f>
        <v>#REF!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2.75" customHeight="1" x14ac:dyDescent="0.2">
      <c r="A14" s="32"/>
      <c r="B14" s="59"/>
      <c r="C14" s="57"/>
      <c r="D14" s="57"/>
      <c r="E14" s="64"/>
      <c r="F14" s="64"/>
      <c r="G14" s="32"/>
      <c r="H14" s="64" t="e">
        <f>SUM(H11:H13)</f>
        <v>#REF!</v>
      </c>
      <c r="I14" s="87" t="e">
        <f>+H14+H9</f>
        <v>#REF!</v>
      </c>
      <c r="J14" s="32" t="e">
        <f>+I14/47</f>
        <v>#REF!</v>
      </c>
      <c r="K14" s="8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2.75" customHeight="1" x14ac:dyDescent="0.2">
      <c r="A15" s="32"/>
      <c r="B15" s="32"/>
      <c r="C15" s="57"/>
      <c r="D15" s="57"/>
      <c r="E15" s="64"/>
      <c r="F15" s="64"/>
      <c r="G15" s="32"/>
      <c r="H15" s="64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2.75" customHeight="1" x14ac:dyDescent="0.2">
      <c r="A16" s="32" t="s">
        <v>78</v>
      </c>
      <c r="B16" s="32"/>
      <c r="C16" s="57"/>
      <c r="D16" s="32"/>
      <c r="E16" s="64"/>
      <c r="F16" s="64"/>
      <c r="G16" s="32"/>
      <c r="H16" s="64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2.75" customHeight="1" x14ac:dyDescent="0.2">
      <c r="A17" s="32"/>
      <c r="B17" s="32" t="s">
        <v>79</v>
      </c>
      <c r="C17" s="57"/>
      <c r="D17" s="57">
        <f>(113906+171558)*1.21</f>
        <v>345411.44</v>
      </c>
      <c r="E17" s="64">
        <f>+D17/18</f>
        <v>19189.524444444443</v>
      </c>
      <c r="F17" s="64">
        <f>+E17*46*1.2</f>
        <v>1059261.7493333332</v>
      </c>
      <c r="G17" s="32"/>
      <c r="H17" s="64">
        <f>2203149*1.21*1.1</f>
        <v>2932391.3190000001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2.75" customHeight="1" x14ac:dyDescent="0.2">
      <c r="A18" s="32"/>
      <c r="B18" s="32" t="s">
        <v>80</v>
      </c>
      <c r="C18" s="57"/>
      <c r="D18" s="57">
        <f>634382*1.21</f>
        <v>767602.22</v>
      </c>
      <c r="E18" s="64">
        <f t="shared" ref="E18:E20" si="2">+D18/18</f>
        <v>42644.567777777775</v>
      </c>
      <c r="F18" s="64">
        <f>+E18*46*1.2</f>
        <v>2353980.1413333332</v>
      </c>
      <c r="G18" s="32"/>
      <c r="H18" s="64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 x14ac:dyDescent="0.2">
      <c r="A19" s="32"/>
      <c r="B19" s="32" t="s">
        <v>202</v>
      </c>
      <c r="C19" s="57"/>
      <c r="D19" s="57" t="e">
        <f>+#REF!</f>
        <v>#REF!</v>
      </c>
      <c r="E19" s="64"/>
      <c r="F19" s="64" t="e">
        <f>+D19*1.2</f>
        <v>#REF!</v>
      </c>
      <c r="G19" s="32"/>
      <c r="H19" s="64" t="e">
        <f>+#REF!*1.1</f>
        <v>#REF!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2.75" customHeight="1" x14ac:dyDescent="0.2">
      <c r="A20" s="32"/>
      <c r="B20" s="32"/>
      <c r="C20" s="57"/>
      <c r="D20" s="58"/>
      <c r="E20" s="64">
        <f t="shared" si="2"/>
        <v>0</v>
      </c>
      <c r="F20" s="84">
        <f t="shared" ref="F20" si="3">+E20*45</f>
        <v>0</v>
      </c>
      <c r="G20" s="32"/>
      <c r="H20" s="84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2.75" customHeight="1" x14ac:dyDescent="0.2">
      <c r="A21" s="32"/>
      <c r="B21" s="32"/>
      <c r="C21" s="57"/>
      <c r="D21" s="57" t="e">
        <f>SUM(D17:D20)</f>
        <v>#REF!</v>
      </c>
      <c r="E21" s="64"/>
      <c r="F21" s="57" t="e">
        <f>SUM(F17:F20)</f>
        <v>#REF!</v>
      </c>
      <c r="G21" s="32"/>
      <c r="H21" s="64" t="e">
        <f>SUM(H17:H20)</f>
        <v>#REF!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 x14ac:dyDescent="0.2">
      <c r="A22" s="32"/>
      <c r="B22" s="32"/>
      <c r="C22" s="57"/>
      <c r="D22" s="57" t="e">
        <f>+D21*1.1</f>
        <v>#REF!</v>
      </c>
      <c r="E22" s="64"/>
      <c r="F22" s="57" t="e">
        <f>+F21*1.1</f>
        <v>#REF!</v>
      </c>
      <c r="G22" s="32"/>
      <c r="H22" s="64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 x14ac:dyDescent="0.2">
      <c r="A23" s="32"/>
      <c r="B23" s="32"/>
      <c r="C23" s="57"/>
      <c r="D23" s="32"/>
      <c r="E23" s="64"/>
      <c r="F23" s="64"/>
      <c r="G23" s="32"/>
      <c r="H23" s="64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 x14ac:dyDescent="0.2">
      <c r="A24" s="32" t="s">
        <v>168</v>
      </c>
      <c r="B24" s="32" t="s">
        <v>204</v>
      </c>
      <c r="C24" s="57"/>
      <c r="D24" s="57">
        <f>2430000*2</f>
        <v>4860000</v>
      </c>
      <c r="E24" s="64">
        <v>2430000</v>
      </c>
      <c r="F24" s="64"/>
      <c r="G24" s="32"/>
      <c r="H24" s="64">
        <f>+D26</f>
        <v>187500</v>
      </c>
      <c r="I24" s="87" t="e">
        <f>+H24+H21</f>
        <v>#REF!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 x14ac:dyDescent="0.2">
      <c r="A25" s="32"/>
      <c r="B25" s="32"/>
      <c r="C25" s="57"/>
      <c r="D25" s="57"/>
      <c r="E25" s="64"/>
      <c r="F25" s="64"/>
      <c r="G25" s="32"/>
      <c r="H25" s="64">
        <f>+H24/47</f>
        <v>3989.3617021276596</v>
      </c>
      <c r="I25" s="64" t="e">
        <f>+I24/47</f>
        <v>#REF!</v>
      </c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 customHeight="1" x14ac:dyDescent="0.2">
      <c r="A26" s="32"/>
      <c r="B26" s="32"/>
      <c r="C26" s="57"/>
      <c r="D26" s="57">
        <f>125000*1.5</f>
        <v>187500</v>
      </c>
      <c r="E26" s="64"/>
      <c r="F26" s="64"/>
      <c r="G26" s="32"/>
      <c r="H26" s="64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 x14ac:dyDescent="0.2">
      <c r="A27" s="32"/>
      <c r="B27" s="32"/>
      <c r="C27" s="57"/>
      <c r="D27" s="57">
        <f>+D26*47</f>
        <v>8812500</v>
      </c>
      <c r="E27" s="64"/>
      <c r="F27" s="64"/>
      <c r="G27" s="32"/>
      <c r="H27" s="64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 x14ac:dyDescent="0.2">
      <c r="A28" s="32"/>
      <c r="B28" s="32"/>
      <c r="C28" s="57"/>
      <c r="D28" s="32"/>
      <c r="E28" s="64"/>
      <c r="F28" s="64"/>
      <c r="G28" s="32"/>
      <c r="H28" s="64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2.75" customHeight="1" x14ac:dyDescent="0.2">
      <c r="A29" s="32"/>
      <c r="B29" s="32"/>
      <c r="C29" s="57"/>
      <c r="D29" s="32"/>
      <c r="E29" s="64"/>
      <c r="F29" s="64"/>
      <c r="G29" s="32"/>
      <c r="H29" s="64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2.75" customHeight="1" x14ac:dyDescent="0.2">
      <c r="A30" s="32"/>
      <c r="B30" s="32"/>
      <c r="C30" s="57"/>
      <c r="D30" s="32"/>
      <c r="E30" s="64"/>
      <c r="F30" s="64"/>
      <c r="G30" s="32"/>
      <c r="H30" s="64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2.75" customHeight="1" x14ac:dyDescent="0.2">
      <c r="A31" s="32"/>
      <c r="B31" s="32"/>
      <c r="C31" s="57"/>
      <c r="D31" s="32"/>
      <c r="E31" s="64"/>
      <c r="F31" s="64"/>
      <c r="G31" s="32"/>
      <c r="H31" s="64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2.75" customHeight="1" x14ac:dyDescent="0.2">
      <c r="A32" s="32"/>
      <c r="B32" s="32"/>
      <c r="C32" s="57"/>
      <c r="D32" s="32"/>
      <c r="E32" s="64"/>
      <c r="F32" s="64"/>
      <c r="G32" s="32"/>
      <c r="H32" s="64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2.75" customHeight="1" x14ac:dyDescent="0.2">
      <c r="A33" s="32"/>
      <c r="B33" s="32"/>
      <c r="C33" s="57"/>
      <c r="D33" s="32"/>
      <c r="E33" s="64"/>
      <c r="F33" s="64"/>
      <c r="G33" s="32"/>
      <c r="H33" s="64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2.75" customHeight="1" x14ac:dyDescent="0.2">
      <c r="A34" s="32"/>
      <c r="B34" s="32"/>
      <c r="C34" s="57"/>
      <c r="D34" s="32"/>
      <c r="E34" s="64"/>
      <c r="F34" s="64"/>
      <c r="G34" s="32"/>
      <c r="H34" s="64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 customHeight="1" x14ac:dyDescent="0.2">
      <c r="A35" s="32"/>
      <c r="B35" s="32"/>
      <c r="C35" s="57"/>
      <c r="D35" s="32"/>
      <c r="E35" s="64"/>
      <c r="F35" s="64"/>
      <c r="G35" s="32"/>
      <c r="H35" s="64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 customHeight="1" x14ac:dyDescent="0.2">
      <c r="A36" s="32"/>
      <c r="B36" s="32"/>
      <c r="C36" s="57"/>
      <c r="D36" s="32"/>
      <c r="E36" s="64"/>
      <c r="F36" s="64"/>
      <c r="G36" s="32"/>
      <c r="H36" s="64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 x14ac:dyDescent="0.2">
      <c r="A37" s="32"/>
      <c r="B37" s="32"/>
      <c r="C37" s="57"/>
      <c r="D37" s="32"/>
      <c r="E37" s="64"/>
      <c r="F37" s="64"/>
      <c r="G37" s="32"/>
      <c r="H37" s="64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 x14ac:dyDescent="0.2">
      <c r="A38" s="32"/>
      <c r="B38" s="32"/>
      <c r="C38" s="57"/>
      <c r="D38" s="32"/>
      <c r="E38" s="64"/>
      <c r="F38" s="64"/>
      <c r="G38" s="32"/>
      <c r="H38" s="64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 x14ac:dyDescent="0.2">
      <c r="A39" s="32"/>
      <c r="B39" s="32"/>
      <c r="C39" s="57"/>
      <c r="D39" s="32"/>
      <c r="E39" s="64"/>
      <c r="F39" s="64"/>
      <c r="G39" s="32"/>
      <c r="H39" s="64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 x14ac:dyDescent="0.2">
      <c r="A40" s="32"/>
      <c r="B40" s="32"/>
      <c r="C40" s="57"/>
      <c r="D40" s="32"/>
      <c r="E40" s="64"/>
      <c r="F40" s="64"/>
      <c r="G40" s="32"/>
      <c r="H40" s="64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 x14ac:dyDescent="0.2">
      <c r="A41" s="32"/>
      <c r="B41" s="32"/>
      <c r="C41" s="57"/>
      <c r="D41" s="32"/>
      <c r="E41" s="64"/>
      <c r="F41" s="64"/>
      <c r="G41" s="32"/>
      <c r="H41" s="64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 x14ac:dyDescent="0.2">
      <c r="A42" s="32"/>
      <c r="B42" s="32"/>
      <c r="C42" s="57"/>
      <c r="D42" s="32"/>
      <c r="E42" s="64"/>
      <c r="F42" s="64"/>
      <c r="G42" s="32"/>
      <c r="H42" s="64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 x14ac:dyDescent="0.2">
      <c r="A43" s="32"/>
      <c r="B43" s="32"/>
      <c r="C43" s="57"/>
      <c r="D43" s="32"/>
      <c r="E43" s="64"/>
      <c r="F43" s="64"/>
      <c r="G43" s="32"/>
      <c r="H43" s="64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2.75" customHeight="1" x14ac:dyDescent="0.2">
      <c r="A44" s="32"/>
      <c r="B44" s="32"/>
      <c r="C44" s="57"/>
      <c r="D44" s="32"/>
      <c r="E44" s="64"/>
      <c r="F44" s="64"/>
      <c r="G44" s="32"/>
      <c r="H44" s="64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2.75" customHeight="1" x14ac:dyDescent="0.2">
      <c r="A45" s="32"/>
      <c r="B45" s="32"/>
      <c r="C45" s="57"/>
      <c r="D45" s="32"/>
      <c r="E45" s="64"/>
      <c r="F45" s="64"/>
      <c r="G45" s="32"/>
      <c r="H45" s="64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2.75" customHeight="1" x14ac:dyDescent="0.2">
      <c r="A46" s="32"/>
      <c r="B46" s="32"/>
      <c r="C46" s="57"/>
      <c r="D46" s="32"/>
      <c r="E46" s="64"/>
      <c r="F46" s="64"/>
      <c r="G46" s="32"/>
      <c r="H46" s="64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2.75" customHeight="1" x14ac:dyDescent="0.2">
      <c r="A47" s="32"/>
      <c r="B47" s="32"/>
      <c r="C47" s="57"/>
      <c r="D47" s="32"/>
      <c r="E47" s="64"/>
      <c r="F47" s="64"/>
      <c r="G47" s="32"/>
      <c r="H47" s="64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2.75" customHeight="1" x14ac:dyDescent="0.2">
      <c r="A48" s="32"/>
      <c r="B48" s="32"/>
      <c r="C48" s="57"/>
      <c r="D48" s="32"/>
      <c r="E48" s="64"/>
      <c r="F48" s="64"/>
      <c r="G48" s="32"/>
      <c r="H48" s="64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2.75" customHeight="1" x14ac:dyDescent="0.2">
      <c r="A49" s="32"/>
      <c r="B49" s="32"/>
      <c r="C49" s="57"/>
      <c r="D49" s="32"/>
      <c r="E49" s="64"/>
      <c r="F49" s="64"/>
      <c r="G49" s="32"/>
      <c r="H49" s="64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2.75" customHeight="1" x14ac:dyDescent="0.2">
      <c r="A50" s="32"/>
      <c r="B50" s="32"/>
      <c r="C50" s="57"/>
      <c r="D50" s="32"/>
      <c r="E50" s="64"/>
      <c r="F50" s="64"/>
      <c r="G50" s="32"/>
      <c r="H50" s="64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2.75" customHeight="1" x14ac:dyDescent="0.2">
      <c r="A51" s="32"/>
      <c r="B51" s="32"/>
      <c r="C51" s="57"/>
      <c r="D51" s="32"/>
      <c r="E51" s="64"/>
      <c r="F51" s="64"/>
      <c r="G51" s="32"/>
      <c r="H51" s="64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2.75" customHeight="1" x14ac:dyDescent="0.2">
      <c r="A52" s="32"/>
      <c r="B52" s="32"/>
      <c r="C52" s="57"/>
      <c r="D52" s="32"/>
      <c r="E52" s="64"/>
      <c r="F52" s="64"/>
      <c r="G52" s="32"/>
      <c r="H52" s="64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2.75" customHeight="1" x14ac:dyDescent="0.2">
      <c r="A53" s="32"/>
      <c r="B53" s="32"/>
      <c r="C53" s="57"/>
      <c r="D53" s="32"/>
      <c r="E53" s="64"/>
      <c r="F53" s="64"/>
      <c r="G53" s="32"/>
      <c r="H53" s="64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2.75" customHeight="1" x14ac:dyDescent="0.2">
      <c r="A54" s="32"/>
      <c r="B54" s="32"/>
      <c r="C54" s="57"/>
      <c r="D54" s="32"/>
      <c r="E54" s="64"/>
      <c r="F54" s="64"/>
      <c r="G54" s="32"/>
      <c r="H54" s="64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2.75" customHeight="1" x14ac:dyDescent="0.2">
      <c r="A55" s="32"/>
      <c r="B55" s="32"/>
      <c r="C55" s="57"/>
      <c r="D55" s="32"/>
      <c r="E55" s="64"/>
      <c r="F55" s="64"/>
      <c r="G55" s="32"/>
      <c r="H55" s="6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2.75" customHeight="1" x14ac:dyDescent="0.2">
      <c r="A56" s="32"/>
      <c r="B56" s="32"/>
      <c r="C56" s="57"/>
      <c r="D56" s="32"/>
      <c r="E56" s="64"/>
      <c r="F56" s="64"/>
      <c r="G56" s="32"/>
      <c r="H56" s="64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2.75" customHeight="1" x14ac:dyDescent="0.2">
      <c r="A57" s="32"/>
      <c r="B57" s="32"/>
      <c r="C57" s="57"/>
      <c r="D57" s="32"/>
      <c r="E57" s="64"/>
      <c r="F57" s="64"/>
      <c r="G57" s="32"/>
      <c r="H57" s="64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2.75" customHeight="1" x14ac:dyDescent="0.2">
      <c r="A58" s="32"/>
      <c r="B58" s="32"/>
      <c r="C58" s="57"/>
      <c r="D58" s="32"/>
      <c r="E58" s="64"/>
      <c r="F58" s="64"/>
      <c r="G58" s="32"/>
      <c r="H58" s="64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2.75" customHeight="1" x14ac:dyDescent="0.2">
      <c r="A59" s="32"/>
      <c r="B59" s="32"/>
      <c r="C59" s="57"/>
      <c r="D59" s="32"/>
      <c r="E59" s="64"/>
      <c r="F59" s="64"/>
      <c r="G59" s="32"/>
      <c r="H59" s="64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2.75" customHeight="1" x14ac:dyDescent="0.2">
      <c r="A60" s="32"/>
      <c r="B60" s="32"/>
      <c r="C60" s="57"/>
      <c r="D60" s="32"/>
      <c r="E60" s="64"/>
      <c r="F60" s="64"/>
      <c r="G60" s="32"/>
      <c r="H60" s="64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2.75" customHeight="1" x14ac:dyDescent="0.2">
      <c r="A61" s="32"/>
      <c r="B61" s="32"/>
      <c r="C61" s="57"/>
      <c r="D61" s="32"/>
      <c r="E61" s="64"/>
      <c r="F61" s="64"/>
      <c r="G61" s="32"/>
      <c r="H61" s="64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2.75" customHeight="1" x14ac:dyDescent="0.2">
      <c r="A62" s="32"/>
      <c r="B62" s="32"/>
      <c r="C62" s="57"/>
      <c r="D62" s="32"/>
      <c r="E62" s="64"/>
      <c r="F62" s="64"/>
      <c r="G62" s="32"/>
      <c r="H62" s="64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2.75" customHeight="1" x14ac:dyDescent="0.2">
      <c r="A63" s="32"/>
      <c r="B63" s="32"/>
      <c r="C63" s="57"/>
      <c r="D63" s="32"/>
      <c r="E63" s="64"/>
      <c r="F63" s="64"/>
      <c r="G63" s="32"/>
      <c r="H63" s="64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2.75" customHeight="1" x14ac:dyDescent="0.2">
      <c r="A64" s="32"/>
      <c r="B64" s="32"/>
      <c r="C64" s="57"/>
      <c r="D64" s="32"/>
      <c r="E64" s="64"/>
      <c r="F64" s="64"/>
      <c r="G64" s="32"/>
      <c r="H64" s="64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2.75" customHeight="1" x14ac:dyDescent="0.2">
      <c r="A65" s="32"/>
      <c r="B65" s="32"/>
      <c r="C65" s="57"/>
      <c r="D65" s="32"/>
      <c r="E65" s="64"/>
      <c r="F65" s="64"/>
      <c r="G65" s="32"/>
      <c r="H65" s="64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2.75" customHeight="1" x14ac:dyDescent="0.2">
      <c r="A66" s="32"/>
      <c r="B66" s="32"/>
      <c r="C66" s="57"/>
      <c r="D66" s="32"/>
      <c r="E66" s="64"/>
      <c r="F66" s="64"/>
      <c r="G66" s="32"/>
      <c r="H66" s="64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2.75" customHeight="1" x14ac:dyDescent="0.2">
      <c r="A67" s="32"/>
      <c r="B67" s="32"/>
      <c r="C67" s="57"/>
      <c r="D67" s="32"/>
      <c r="E67" s="64"/>
      <c r="F67" s="64"/>
      <c r="G67" s="32"/>
      <c r="H67" s="64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2.75" customHeight="1" x14ac:dyDescent="0.2">
      <c r="A68" s="32"/>
      <c r="B68" s="32"/>
      <c r="C68" s="57"/>
      <c r="D68" s="32"/>
      <c r="E68" s="64"/>
      <c r="F68" s="64"/>
      <c r="G68" s="32"/>
      <c r="H68" s="64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2.75" customHeight="1" x14ac:dyDescent="0.2">
      <c r="A69" s="32"/>
      <c r="B69" s="32"/>
      <c r="C69" s="57"/>
      <c r="D69" s="32"/>
      <c r="E69" s="64"/>
      <c r="F69" s="64"/>
      <c r="G69" s="32"/>
      <c r="H69" s="64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2.75" customHeight="1" x14ac:dyDescent="0.2">
      <c r="A70" s="32"/>
      <c r="B70" s="32"/>
      <c r="C70" s="57"/>
      <c r="D70" s="32"/>
      <c r="E70" s="64"/>
      <c r="F70" s="64"/>
      <c r="G70" s="32"/>
      <c r="H70" s="64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2.75" customHeight="1" x14ac:dyDescent="0.2">
      <c r="A71" s="32"/>
      <c r="B71" s="32"/>
      <c r="C71" s="57"/>
      <c r="D71" s="32"/>
      <c r="E71" s="64"/>
      <c r="F71" s="64"/>
      <c r="G71" s="32"/>
      <c r="H71" s="64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2.75" customHeight="1" x14ac:dyDescent="0.2">
      <c r="A72" s="32"/>
      <c r="B72" s="32"/>
      <c r="C72" s="57"/>
      <c r="D72" s="32"/>
      <c r="E72" s="64"/>
      <c r="F72" s="64"/>
      <c r="G72" s="32"/>
      <c r="H72" s="64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2.75" customHeight="1" x14ac:dyDescent="0.2">
      <c r="A73" s="32"/>
      <c r="B73" s="32"/>
      <c r="C73" s="57"/>
      <c r="D73" s="32"/>
      <c r="E73" s="64"/>
      <c r="F73" s="64"/>
      <c r="G73" s="32"/>
      <c r="H73" s="64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2.75" customHeight="1" x14ac:dyDescent="0.2">
      <c r="A74" s="32"/>
      <c r="B74" s="32"/>
      <c r="C74" s="57"/>
      <c r="D74" s="32"/>
      <c r="E74" s="64"/>
      <c r="F74" s="64"/>
      <c r="G74" s="32"/>
      <c r="H74" s="64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2.75" customHeight="1" x14ac:dyDescent="0.2">
      <c r="A75" s="32"/>
      <c r="B75" s="32"/>
      <c r="C75" s="57"/>
      <c r="D75" s="32"/>
      <c r="E75" s="64"/>
      <c r="F75" s="64"/>
      <c r="G75" s="32"/>
      <c r="H75" s="64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2.75" customHeight="1" x14ac:dyDescent="0.2">
      <c r="A76" s="32"/>
      <c r="B76" s="32"/>
      <c r="C76" s="57"/>
      <c r="D76" s="32"/>
      <c r="E76" s="64"/>
      <c r="F76" s="64"/>
      <c r="G76" s="32"/>
      <c r="H76" s="64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2.75" customHeight="1" x14ac:dyDescent="0.2">
      <c r="A77" s="32"/>
      <c r="B77" s="32"/>
      <c r="C77" s="57"/>
      <c r="D77" s="32"/>
      <c r="E77" s="64"/>
      <c r="F77" s="64"/>
      <c r="G77" s="32"/>
      <c r="H77" s="64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2.75" customHeight="1" x14ac:dyDescent="0.2">
      <c r="A78" s="32"/>
      <c r="B78" s="32"/>
      <c r="C78" s="57"/>
      <c r="D78" s="32"/>
      <c r="E78" s="64"/>
      <c r="F78" s="64"/>
      <c r="G78" s="32"/>
      <c r="H78" s="64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2.75" customHeight="1" x14ac:dyDescent="0.2">
      <c r="A79" s="32"/>
      <c r="B79" s="32"/>
      <c r="C79" s="57"/>
      <c r="D79" s="32"/>
      <c r="E79" s="64"/>
      <c r="F79" s="64"/>
      <c r="G79" s="32"/>
      <c r="H79" s="64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2.75" customHeight="1" x14ac:dyDescent="0.2">
      <c r="A80" s="32"/>
      <c r="B80" s="32"/>
      <c r="C80" s="57"/>
      <c r="D80" s="32"/>
      <c r="E80" s="64"/>
      <c r="F80" s="64"/>
      <c r="G80" s="32"/>
      <c r="H80" s="64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2.75" customHeight="1" x14ac:dyDescent="0.2">
      <c r="A81" s="32"/>
      <c r="B81" s="32"/>
      <c r="C81" s="57"/>
      <c r="D81" s="32"/>
      <c r="E81" s="64"/>
      <c r="F81" s="64"/>
      <c r="G81" s="32"/>
      <c r="H81" s="64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2.75" customHeight="1" x14ac:dyDescent="0.2">
      <c r="A82" s="32"/>
      <c r="B82" s="32"/>
      <c r="C82" s="57"/>
      <c r="D82" s="32"/>
      <c r="E82" s="64"/>
      <c r="F82" s="64"/>
      <c r="G82" s="32"/>
      <c r="H82" s="64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2.75" customHeight="1" x14ac:dyDescent="0.2">
      <c r="A83" s="32"/>
      <c r="B83" s="32"/>
      <c r="C83" s="57"/>
      <c r="D83" s="32"/>
      <c r="E83" s="64"/>
      <c r="F83" s="64"/>
      <c r="G83" s="32"/>
      <c r="H83" s="64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2.75" customHeight="1" x14ac:dyDescent="0.2">
      <c r="A84" s="32"/>
      <c r="B84" s="32"/>
      <c r="C84" s="57"/>
      <c r="D84" s="32"/>
      <c r="E84" s="64"/>
      <c r="F84" s="64"/>
      <c r="G84" s="32"/>
      <c r="H84" s="64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2.75" customHeight="1" x14ac:dyDescent="0.2">
      <c r="A85" s="32"/>
      <c r="B85" s="32"/>
      <c r="C85" s="57"/>
      <c r="D85" s="32"/>
      <c r="E85" s="64"/>
      <c r="F85" s="64"/>
      <c r="G85" s="32"/>
      <c r="H85" s="64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2.75" customHeight="1" x14ac:dyDescent="0.2">
      <c r="A86" s="32"/>
      <c r="B86" s="32"/>
      <c r="C86" s="57"/>
      <c r="D86" s="32"/>
      <c r="E86" s="64"/>
      <c r="F86" s="64"/>
      <c r="G86" s="32"/>
      <c r="H86" s="64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2.75" customHeight="1" x14ac:dyDescent="0.2">
      <c r="A87" s="32"/>
      <c r="B87" s="32"/>
      <c r="C87" s="57"/>
      <c r="D87" s="32"/>
      <c r="E87" s="64"/>
      <c r="F87" s="64"/>
      <c r="G87" s="32"/>
      <c r="H87" s="64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2.75" customHeight="1" x14ac:dyDescent="0.2">
      <c r="A88" s="32"/>
      <c r="B88" s="32"/>
      <c r="C88" s="57"/>
      <c r="D88" s="32"/>
      <c r="E88" s="64"/>
      <c r="F88" s="64"/>
      <c r="G88" s="32"/>
      <c r="H88" s="64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2.75" customHeight="1" x14ac:dyDescent="0.2">
      <c r="A89" s="32"/>
      <c r="B89" s="32"/>
      <c r="C89" s="57"/>
      <c r="D89" s="32"/>
      <c r="E89" s="64"/>
      <c r="F89" s="64"/>
      <c r="G89" s="32"/>
      <c r="H89" s="64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.75" customHeight="1" x14ac:dyDescent="0.2">
      <c r="A90" s="32"/>
      <c r="B90" s="32"/>
      <c r="C90" s="57"/>
      <c r="D90" s="32"/>
      <c r="E90" s="64"/>
      <c r="F90" s="64"/>
      <c r="G90" s="32"/>
      <c r="H90" s="64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2.75" customHeight="1" x14ac:dyDescent="0.2">
      <c r="A91" s="32"/>
      <c r="B91" s="32"/>
      <c r="C91" s="57"/>
      <c r="D91" s="32"/>
      <c r="E91" s="64"/>
      <c r="F91" s="64"/>
      <c r="G91" s="32"/>
      <c r="H91" s="64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2.75" customHeight="1" x14ac:dyDescent="0.2">
      <c r="A92" s="32"/>
      <c r="B92" s="32"/>
      <c r="C92" s="57"/>
      <c r="D92" s="32"/>
      <c r="E92" s="64"/>
      <c r="F92" s="64"/>
      <c r="G92" s="32"/>
      <c r="H92" s="64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2.75" customHeight="1" x14ac:dyDescent="0.2">
      <c r="A93" s="32"/>
      <c r="B93" s="32"/>
      <c r="C93" s="57"/>
      <c r="D93" s="32"/>
      <c r="E93" s="64"/>
      <c r="F93" s="64"/>
      <c r="G93" s="32"/>
      <c r="H93" s="64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.75" customHeight="1" x14ac:dyDescent="0.2">
      <c r="A94" s="32"/>
      <c r="B94" s="32"/>
      <c r="C94" s="57"/>
      <c r="D94" s="32"/>
      <c r="E94" s="64"/>
      <c r="F94" s="64"/>
      <c r="G94" s="32"/>
      <c r="H94" s="64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2.75" customHeight="1" x14ac:dyDescent="0.2">
      <c r="A95" s="32"/>
      <c r="B95" s="32"/>
      <c r="C95" s="57"/>
      <c r="D95" s="32"/>
      <c r="E95" s="64"/>
      <c r="F95" s="64"/>
      <c r="G95" s="32"/>
      <c r="H95" s="64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2.75" customHeight="1" x14ac:dyDescent="0.2">
      <c r="A96" s="32"/>
      <c r="B96" s="32"/>
      <c r="C96" s="57"/>
      <c r="D96" s="32"/>
      <c r="E96" s="64"/>
      <c r="F96" s="64"/>
      <c r="G96" s="32"/>
      <c r="H96" s="64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2.75" customHeight="1" x14ac:dyDescent="0.2">
      <c r="A97" s="32"/>
      <c r="B97" s="32"/>
      <c r="C97" s="57"/>
      <c r="D97" s="32"/>
      <c r="E97" s="64"/>
      <c r="F97" s="64"/>
      <c r="G97" s="32"/>
      <c r="H97" s="64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2.75" customHeight="1" x14ac:dyDescent="0.2">
      <c r="A98" s="32"/>
      <c r="B98" s="32"/>
      <c r="C98" s="57"/>
      <c r="D98" s="32"/>
      <c r="E98" s="64"/>
      <c r="F98" s="64"/>
      <c r="G98" s="32"/>
      <c r="H98" s="64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2.75" customHeight="1" x14ac:dyDescent="0.2">
      <c r="A99" s="32"/>
      <c r="B99" s="32"/>
      <c r="C99" s="57"/>
      <c r="D99" s="32"/>
      <c r="E99" s="64"/>
      <c r="F99" s="64"/>
      <c r="G99" s="32"/>
      <c r="H99" s="64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2.75" customHeight="1" x14ac:dyDescent="0.2">
      <c r="A100" s="32"/>
      <c r="B100" s="32"/>
      <c r="C100" s="57"/>
      <c r="D100" s="32"/>
      <c r="E100" s="64"/>
      <c r="F100" s="64"/>
      <c r="G100" s="32"/>
      <c r="H100" s="64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2.75" customHeight="1" x14ac:dyDescent="0.2">
      <c r="A101" s="32"/>
      <c r="B101" s="32"/>
      <c r="C101" s="57"/>
      <c r="D101" s="32"/>
      <c r="E101" s="64"/>
      <c r="F101" s="64"/>
      <c r="G101" s="32"/>
      <c r="H101" s="64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2.75" customHeight="1" x14ac:dyDescent="0.2">
      <c r="A102" s="32"/>
      <c r="B102" s="32"/>
      <c r="C102" s="57"/>
      <c r="D102" s="32"/>
      <c r="E102" s="64"/>
      <c r="F102" s="64"/>
      <c r="G102" s="32"/>
      <c r="H102" s="64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2.75" customHeight="1" x14ac:dyDescent="0.2">
      <c r="A103" s="32"/>
      <c r="B103" s="32"/>
      <c r="C103" s="57"/>
      <c r="D103" s="32"/>
      <c r="E103" s="64"/>
      <c r="F103" s="64"/>
      <c r="G103" s="32"/>
      <c r="H103" s="64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2.75" customHeight="1" x14ac:dyDescent="0.2">
      <c r="A104" s="32"/>
      <c r="B104" s="32"/>
      <c r="C104" s="57"/>
      <c r="D104" s="32"/>
      <c r="E104" s="64"/>
      <c r="F104" s="64"/>
      <c r="G104" s="32"/>
      <c r="H104" s="64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2.75" customHeight="1" x14ac:dyDescent="0.2">
      <c r="A105" s="32"/>
      <c r="B105" s="32"/>
      <c r="C105" s="57"/>
      <c r="D105" s="32"/>
      <c r="E105" s="64"/>
      <c r="F105" s="64"/>
      <c r="G105" s="32"/>
      <c r="H105" s="64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2.75" customHeight="1" x14ac:dyDescent="0.2">
      <c r="A106" s="32"/>
      <c r="B106" s="32"/>
      <c r="C106" s="57"/>
      <c r="D106" s="32"/>
      <c r="E106" s="64"/>
      <c r="F106" s="64"/>
      <c r="G106" s="32"/>
      <c r="H106" s="64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2.75" customHeight="1" x14ac:dyDescent="0.2">
      <c r="A107" s="32"/>
      <c r="B107" s="32"/>
      <c r="C107" s="57"/>
      <c r="D107" s="32"/>
      <c r="E107" s="64"/>
      <c r="F107" s="64"/>
      <c r="G107" s="32"/>
      <c r="H107" s="64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2.75" customHeight="1" x14ac:dyDescent="0.2">
      <c r="A108" s="32"/>
      <c r="B108" s="32"/>
      <c r="C108" s="57"/>
      <c r="D108" s="32"/>
      <c r="E108" s="64"/>
      <c r="F108" s="64"/>
      <c r="G108" s="32"/>
      <c r="H108" s="64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2.75" customHeight="1" x14ac:dyDescent="0.2">
      <c r="A109" s="32"/>
      <c r="B109" s="32"/>
      <c r="C109" s="57"/>
      <c r="D109" s="32"/>
      <c r="E109" s="64"/>
      <c r="F109" s="64"/>
      <c r="G109" s="32"/>
      <c r="H109" s="64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2.75" customHeight="1" x14ac:dyDescent="0.2">
      <c r="A110" s="32"/>
      <c r="B110" s="32"/>
      <c r="C110" s="57"/>
      <c r="D110" s="32"/>
      <c r="E110" s="64"/>
      <c r="F110" s="64"/>
      <c r="G110" s="32"/>
      <c r="H110" s="64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2.75" customHeight="1" x14ac:dyDescent="0.2">
      <c r="A111" s="32"/>
      <c r="B111" s="32"/>
      <c r="C111" s="57"/>
      <c r="D111" s="32"/>
      <c r="E111" s="64"/>
      <c r="F111" s="64"/>
      <c r="G111" s="32"/>
      <c r="H111" s="64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2.75" customHeight="1" x14ac:dyDescent="0.2">
      <c r="A112" s="32"/>
      <c r="B112" s="32"/>
      <c r="C112" s="57"/>
      <c r="D112" s="32"/>
      <c r="E112" s="64"/>
      <c r="F112" s="64"/>
      <c r="G112" s="32"/>
      <c r="H112" s="64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2.75" customHeight="1" x14ac:dyDescent="0.2">
      <c r="A113" s="32"/>
      <c r="B113" s="32"/>
      <c r="C113" s="57"/>
      <c r="D113" s="32"/>
      <c r="E113" s="64"/>
      <c r="F113" s="64"/>
      <c r="G113" s="32"/>
      <c r="H113" s="64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2.75" customHeight="1" x14ac:dyDescent="0.2">
      <c r="A114" s="32"/>
      <c r="B114" s="32"/>
      <c r="C114" s="57"/>
      <c r="D114" s="32"/>
      <c r="E114" s="64"/>
      <c r="F114" s="64"/>
      <c r="G114" s="32"/>
      <c r="H114" s="64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2.75" customHeight="1" x14ac:dyDescent="0.2">
      <c r="A115" s="32"/>
      <c r="B115" s="32"/>
      <c r="C115" s="57"/>
      <c r="D115" s="32"/>
      <c r="E115" s="64"/>
      <c r="F115" s="64"/>
      <c r="G115" s="32"/>
      <c r="H115" s="64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2.75" customHeight="1" x14ac:dyDescent="0.2">
      <c r="A116" s="32"/>
      <c r="B116" s="32"/>
      <c r="C116" s="57"/>
      <c r="D116" s="32"/>
      <c r="E116" s="64"/>
      <c r="F116" s="64"/>
      <c r="G116" s="32"/>
      <c r="H116" s="64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2.75" customHeight="1" x14ac:dyDescent="0.2">
      <c r="A117" s="32"/>
      <c r="B117" s="32"/>
      <c r="C117" s="57"/>
      <c r="D117" s="32"/>
      <c r="E117" s="64"/>
      <c r="F117" s="64"/>
      <c r="G117" s="32"/>
      <c r="H117" s="64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2.75" customHeight="1" x14ac:dyDescent="0.2">
      <c r="A118" s="32"/>
      <c r="B118" s="32"/>
      <c r="C118" s="57"/>
      <c r="D118" s="32"/>
      <c r="E118" s="64"/>
      <c r="F118" s="64"/>
      <c r="G118" s="32"/>
      <c r="H118" s="64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2.75" customHeight="1" x14ac:dyDescent="0.2">
      <c r="A119" s="32"/>
      <c r="B119" s="32"/>
      <c r="C119" s="57"/>
      <c r="D119" s="32"/>
      <c r="E119" s="64"/>
      <c r="F119" s="64"/>
      <c r="G119" s="32"/>
      <c r="H119" s="64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2.75" customHeight="1" x14ac:dyDescent="0.2">
      <c r="A120" s="32"/>
      <c r="B120" s="32"/>
      <c r="C120" s="57"/>
      <c r="D120" s="32"/>
      <c r="E120" s="64"/>
      <c r="F120" s="64"/>
      <c r="G120" s="32"/>
      <c r="H120" s="64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2.75" customHeight="1" x14ac:dyDescent="0.2">
      <c r="A121" s="32"/>
      <c r="B121" s="32"/>
      <c r="C121" s="57"/>
      <c r="D121" s="32"/>
      <c r="E121" s="64"/>
      <c r="F121" s="64"/>
      <c r="G121" s="32"/>
      <c r="H121" s="64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2.75" customHeight="1" x14ac:dyDescent="0.2">
      <c r="A122" s="32"/>
      <c r="B122" s="32"/>
      <c r="C122" s="57"/>
      <c r="D122" s="32"/>
      <c r="E122" s="64"/>
      <c r="F122" s="64"/>
      <c r="G122" s="32"/>
      <c r="H122" s="64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2.75" customHeight="1" x14ac:dyDescent="0.2">
      <c r="A123" s="32"/>
      <c r="B123" s="32"/>
      <c r="C123" s="57"/>
      <c r="D123" s="32"/>
      <c r="E123" s="64"/>
      <c r="F123" s="64"/>
      <c r="G123" s="32"/>
      <c r="H123" s="64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2.75" customHeight="1" x14ac:dyDescent="0.2">
      <c r="A124" s="32"/>
      <c r="B124" s="32"/>
      <c r="C124" s="57"/>
      <c r="D124" s="32"/>
      <c r="E124" s="64"/>
      <c r="F124" s="64"/>
      <c r="G124" s="32"/>
      <c r="H124" s="64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2.75" customHeight="1" x14ac:dyDescent="0.2">
      <c r="A125" s="32"/>
      <c r="B125" s="32"/>
      <c r="C125" s="57"/>
      <c r="D125" s="32"/>
      <c r="E125" s="64"/>
      <c r="F125" s="64"/>
      <c r="G125" s="32"/>
      <c r="H125" s="64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2.75" customHeight="1" x14ac:dyDescent="0.2">
      <c r="A126" s="32"/>
      <c r="B126" s="32"/>
      <c r="C126" s="57"/>
      <c r="D126" s="32"/>
      <c r="E126" s="64"/>
      <c r="F126" s="64"/>
      <c r="G126" s="32"/>
      <c r="H126" s="64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2.75" customHeight="1" x14ac:dyDescent="0.2">
      <c r="A127" s="32"/>
      <c r="B127" s="32"/>
      <c r="C127" s="57"/>
      <c r="D127" s="32"/>
      <c r="E127" s="64"/>
      <c r="F127" s="64"/>
      <c r="G127" s="32"/>
      <c r="H127" s="64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2.75" customHeight="1" x14ac:dyDescent="0.2">
      <c r="A128" s="32"/>
      <c r="B128" s="32"/>
      <c r="C128" s="57"/>
      <c r="D128" s="32"/>
      <c r="E128" s="64"/>
      <c r="F128" s="64"/>
      <c r="G128" s="32"/>
      <c r="H128" s="64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2.75" customHeight="1" x14ac:dyDescent="0.2">
      <c r="A129" s="32"/>
      <c r="B129" s="32"/>
      <c r="C129" s="57"/>
      <c r="D129" s="32"/>
      <c r="E129" s="64"/>
      <c r="F129" s="64"/>
      <c r="G129" s="32"/>
      <c r="H129" s="64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2.75" customHeight="1" x14ac:dyDescent="0.2">
      <c r="A130" s="32"/>
      <c r="B130" s="32"/>
      <c r="C130" s="57"/>
      <c r="D130" s="32"/>
      <c r="E130" s="64"/>
      <c r="F130" s="64"/>
      <c r="G130" s="32"/>
      <c r="H130" s="64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2.75" customHeight="1" x14ac:dyDescent="0.2">
      <c r="A131" s="32"/>
      <c r="B131" s="32"/>
      <c r="C131" s="57"/>
      <c r="D131" s="32"/>
      <c r="E131" s="64"/>
      <c r="F131" s="64"/>
      <c r="G131" s="32"/>
      <c r="H131" s="64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2.75" customHeight="1" x14ac:dyDescent="0.2">
      <c r="A132" s="32"/>
      <c r="B132" s="32"/>
      <c r="C132" s="57"/>
      <c r="D132" s="32"/>
      <c r="E132" s="64"/>
      <c r="F132" s="64"/>
      <c r="G132" s="32"/>
      <c r="H132" s="64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2.75" customHeight="1" x14ac:dyDescent="0.2">
      <c r="A133" s="32"/>
      <c r="B133" s="32"/>
      <c r="C133" s="57"/>
      <c r="D133" s="32"/>
      <c r="E133" s="64"/>
      <c r="F133" s="64"/>
      <c r="G133" s="32"/>
      <c r="H133" s="64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2.75" customHeight="1" x14ac:dyDescent="0.2">
      <c r="A134" s="32"/>
      <c r="B134" s="32"/>
      <c r="C134" s="57"/>
      <c r="D134" s="32"/>
      <c r="E134" s="64"/>
      <c r="F134" s="64"/>
      <c r="G134" s="32"/>
      <c r="H134" s="64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2.75" customHeight="1" x14ac:dyDescent="0.2">
      <c r="A135" s="32"/>
      <c r="B135" s="32"/>
      <c r="C135" s="57"/>
      <c r="D135" s="32"/>
      <c r="E135" s="64"/>
      <c r="F135" s="64"/>
      <c r="G135" s="32"/>
      <c r="H135" s="64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2.75" customHeight="1" x14ac:dyDescent="0.2">
      <c r="A136" s="32"/>
      <c r="B136" s="32"/>
      <c r="C136" s="57"/>
      <c r="D136" s="32"/>
      <c r="E136" s="64"/>
      <c r="F136" s="64"/>
      <c r="G136" s="32"/>
      <c r="H136" s="64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2.75" customHeight="1" x14ac:dyDescent="0.2">
      <c r="A137" s="32"/>
      <c r="B137" s="32"/>
      <c r="C137" s="57"/>
      <c r="D137" s="32"/>
      <c r="E137" s="64"/>
      <c r="F137" s="64"/>
      <c r="G137" s="32"/>
      <c r="H137" s="64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2.75" customHeight="1" x14ac:dyDescent="0.2">
      <c r="A138" s="32"/>
      <c r="B138" s="32"/>
      <c r="C138" s="57"/>
      <c r="D138" s="32"/>
      <c r="E138" s="64"/>
      <c r="F138" s="64"/>
      <c r="G138" s="32"/>
      <c r="H138" s="64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2.75" customHeight="1" x14ac:dyDescent="0.2">
      <c r="A139" s="32"/>
      <c r="B139" s="32"/>
      <c r="C139" s="57"/>
      <c r="D139" s="32"/>
      <c r="E139" s="64"/>
      <c r="F139" s="64"/>
      <c r="G139" s="32"/>
      <c r="H139" s="64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2.75" customHeight="1" x14ac:dyDescent="0.2">
      <c r="A140" s="32"/>
      <c r="B140" s="32"/>
      <c r="C140" s="57"/>
      <c r="D140" s="32"/>
      <c r="E140" s="64"/>
      <c r="F140" s="64"/>
      <c r="G140" s="32"/>
      <c r="H140" s="64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2.75" customHeight="1" x14ac:dyDescent="0.2">
      <c r="A141" s="32"/>
      <c r="B141" s="32"/>
      <c r="C141" s="57"/>
      <c r="D141" s="32"/>
      <c r="E141" s="64"/>
      <c r="F141" s="64"/>
      <c r="G141" s="32"/>
      <c r="H141" s="64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2.75" customHeight="1" x14ac:dyDescent="0.2">
      <c r="A142" s="32"/>
      <c r="B142" s="32"/>
      <c r="C142" s="57"/>
      <c r="D142" s="32"/>
      <c r="E142" s="64"/>
      <c r="F142" s="64"/>
      <c r="G142" s="32"/>
      <c r="H142" s="64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2.75" customHeight="1" x14ac:dyDescent="0.2">
      <c r="A143" s="32"/>
      <c r="B143" s="32"/>
      <c r="C143" s="57"/>
      <c r="D143" s="32"/>
      <c r="E143" s="64"/>
      <c r="F143" s="64"/>
      <c r="G143" s="32"/>
      <c r="H143" s="64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2.75" customHeight="1" x14ac:dyDescent="0.2">
      <c r="A144" s="32"/>
      <c r="B144" s="32"/>
      <c r="C144" s="57"/>
      <c r="D144" s="32"/>
      <c r="E144" s="64"/>
      <c r="F144" s="64"/>
      <c r="G144" s="32"/>
      <c r="H144" s="64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2.75" customHeight="1" x14ac:dyDescent="0.2">
      <c r="A145" s="32"/>
      <c r="B145" s="32"/>
      <c r="C145" s="57"/>
      <c r="D145" s="32"/>
      <c r="E145" s="64"/>
      <c r="F145" s="64"/>
      <c r="G145" s="32"/>
      <c r="H145" s="64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2.75" customHeight="1" x14ac:dyDescent="0.2">
      <c r="A146" s="32"/>
      <c r="B146" s="32"/>
      <c r="C146" s="57"/>
      <c r="D146" s="32"/>
      <c r="E146" s="64"/>
      <c r="F146" s="64"/>
      <c r="G146" s="32"/>
      <c r="H146" s="64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2.75" customHeight="1" x14ac:dyDescent="0.2">
      <c r="A147" s="32"/>
      <c r="B147" s="32"/>
      <c r="C147" s="57"/>
      <c r="D147" s="32"/>
      <c r="E147" s="64"/>
      <c r="F147" s="64"/>
      <c r="G147" s="32"/>
      <c r="H147" s="64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2.75" customHeight="1" x14ac:dyDescent="0.2">
      <c r="A148" s="32"/>
      <c r="B148" s="32"/>
      <c r="C148" s="57"/>
      <c r="D148" s="32"/>
      <c r="E148" s="64"/>
      <c r="F148" s="64"/>
      <c r="G148" s="32"/>
      <c r="H148" s="64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2.75" customHeight="1" x14ac:dyDescent="0.2">
      <c r="A149" s="32"/>
      <c r="B149" s="32"/>
      <c r="C149" s="57"/>
      <c r="D149" s="32"/>
      <c r="E149" s="64"/>
      <c r="F149" s="64"/>
      <c r="G149" s="32"/>
      <c r="H149" s="64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2.75" customHeight="1" x14ac:dyDescent="0.2">
      <c r="A150" s="32"/>
      <c r="B150" s="32"/>
      <c r="C150" s="57"/>
      <c r="D150" s="32"/>
      <c r="E150" s="64"/>
      <c r="F150" s="64"/>
      <c r="G150" s="32"/>
      <c r="H150" s="64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2.75" customHeight="1" x14ac:dyDescent="0.2">
      <c r="A151" s="32"/>
      <c r="B151" s="32"/>
      <c r="C151" s="57"/>
      <c r="D151" s="32"/>
      <c r="E151" s="64"/>
      <c r="F151" s="64"/>
      <c r="G151" s="32"/>
      <c r="H151" s="64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2.75" customHeight="1" x14ac:dyDescent="0.2">
      <c r="A152" s="32"/>
      <c r="B152" s="32"/>
      <c r="C152" s="57"/>
      <c r="D152" s="32"/>
      <c r="E152" s="64"/>
      <c r="F152" s="64"/>
      <c r="G152" s="32"/>
      <c r="H152" s="64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2.75" customHeight="1" x14ac:dyDescent="0.2">
      <c r="A153" s="32"/>
      <c r="B153" s="32"/>
      <c r="C153" s="57"/>
      <c r="D153" s="32"/>
      <c r="E153" s="64"/>
      <c r="F153" s="64"/>
      <c r="G153" s="32"/>
      <c r="H153" s="64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2.75" customHeight="1" x14ac:dyDescent="0.2">
      <c r="A154" s="32"/>
      <c r="B154" s="32"/>
      <c r="C154" s="57"/>
      <c r="D154" s="32"/>
      <c r="E154" s="64"/>
      <c r="F154" s="64"/>
      <c r="G154" s="32"/>
      <c r="H154" s="64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2.75" customHeight="1" x14ac:dyDescent="0.2">
      <c r="A155" s="32"/>
      <c r="B155" s="32"/>
      <c r="C155" s="57"/>
      <c r="D155" s="32"/>
      <c r="E155" s="64"/>
      <c r="F155" s="64"/>
      <c r="G155" s="32"/>
      <c r="H155" s="64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2.75" customHeight="1" x14ac:dyDescent="0.2">
      <c r="A156" s="32"/>
      <c r="B156" s="32"/>
      <c r="C156" s="57"/>
      <c r="D156" s="32"/>
      <c r="E156" s="64"/>
      <c r="F156" s="64"/>
      <c r="G156" s="32"/>
      <c r="H156" s="64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2.75" customHeight="1" x14ac:dyDescent="0.2">
      <c r="A157" s="32"/>
      <c r="B157" s="32"/>
      <c r="C157" s="57"/>
      <c r="D157" s="32"/>
      <c r="E157" s="64"/>
      <c r="F157" s="64"/>
      <c r="G157" s="32"/>
      <c r="H157" s="64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2.75" customHeight="1" x14ac:dyDescent="0.2">
      <c r="A158" s="32"/>
      <c r="B158" s="32"/>
      <c r="C158" s="57"/>
      <c r="D158" s="32"/>
      <c r="E158" s="64"/>
      <c r="F158" s="64"/>
      <c r="G158" s="32"/>
      <c r="H158" s="64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2.75" customHeight="1" x14ac:dyDescent="0.2">
      <c r="A159" s="32"/>
      <c r="B159" s="32"/>
      <c r="C159" s="57"/>
      <c r="D159" s="32"/>
      <c r="E159" s="64"/>
      <c r="F159" s="64"/>
      <c r="G159" s="32"/>
      <c r="H159" s="64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2.75" customHeight="1" x14ac:dyDescent="0.2">
      <c r="A160" s="32"/>
      <c r="B160" s="32"/>
      <c r="C160" s="57"/>
      <c r="D160" s="32"/>
      <c r="E160" s="64"/>
      <c r="F160" s="64"/>
      <c r="G160" s="32"/>
      <c r="H160" s="64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2.75" customHeight="1" x14ac:dyDescent="0.2">
      <c r="A161" s="32"/>
      <c r="B161" s="32"/>
      <c r="C161" s="57"/>
      <c r="D161" s="32"/>
      <c r="E161" s="64"/>
      <c r="F161" s="64"/>
      <c r="G161" s="32"/>
      <c r="H161" s="64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2.75" customHeight="1" x14ac:dyDescent="0.2">
      <c r="A162" s="32"/>
      <c r="B162" s="32"/>
      <c r="C162" s="57"/>
      <c r="D162" s="32"/>
      <c r="E162" s="64"/>
      <c r="F162" s="64"/>
      <c r="G162" s="32"/>
      <c r="H162" s="64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2.75" customHeight="1" x14ac:dyDescent="0.2">
      <c r="A163" s="32"/>
      <c r="B163" s="32"/>
      <c r="C163" s="57"/>
      <c r="D163" s="32"/>
      <c r="E163" s="64"/>
      <c r="F163" s="64"/>
      <c r="G163" s="32"/>
      <c r="H163" s="64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2.75" customHeight="1" x14ac:dyDescent="0.2">
      <c r="A164" s="32"/>
      <c r="B164" s="32"/>
      <c r="C164" s="57"/>
      <c r="D164" s="32"/>
      <c r="E164" s="64"/>
      <c r="F164" s="64"/>
      <c r="G164" s="32"/>
      <c r="H164" s="64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2.75" customHeight="1" x14ac:dyDescent="0.2">
      <c r="A165" s="32"/>
      <c r="B165" s="32"/>
      <c r="C165" s="57"/>
      <c r="D165" s="32"/>
      <c r="E165" s="64"/>
      <c r="F165" s="64"/>
      <c r="G165" s="32"/>
      <c r="H165" s="64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2.75" customHeight="1" x14ac:dyDescent="0.2">
      <c r="A166" s="32"/>
      <c r="B166" s="32"/>
      <c r="C166" s="57"/>
      <c r="D166" s="32"/>
      <c r="E166" s="64"/>
      <c r="F166" s="64"/>
      <c r="G166" s="32"/>
      <c r="H166" s="64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2.75" customHeight="1" x14ac:dyDescent="0.2">
      <c r="A167" s="32"/>
      <c r="B167" s="32"/>
      <c r="C167" s="57"/>
      <c r="D167" s="32"/>
      <c r="E167" s="64"/>
      <c r="F167" s="64"/>
      <c r="G167" s="32"/>
      <c r="H167" s="64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2.75" customHeight="1" x14ac:dyDescent="0.2">
      <c r="A168" s="32"/>
      <c r="B168" s="32"/>
      <c r="C168" s="57"/>
      <c r="D168" s="32"/>
      <c r="E168" s="64"/>
      <c r="F168" s="64"/>
      <c r="G168" s="32"/>
      <c r="H168" s="64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2.75" customHeight="1" x14ac:dyDescent="0.2">
      <c r="A169" s="32"/>
      <c r="B169" s="32"/>
      <c r="C169" s="57"/>
      <c r="D169" s="32"/>
      <c r="E169" s="64"/>
      <c r="F169" s="64"/>
      <c r="G169" s="32"/>
      <c r="H169" s="64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2.75" customHeight="1" x14ac:dyDescent="0.2">
      <c r="A170" s="32"/>
      <c r="B170" s="32"/>
      <c r="C170" s="57"/>
      <c r="D170" s="32"/>
      <c r="E170" s="64"/>
      <c r="F170" s="64"/>
      <c r="G170" s="32"/>
      <c r="H170" s="64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2.75" customHeight="1" x14ac:dyDescent="0.2">
      <c r="A171" s="32"/>
      <c r="B171" s="32"/>
      <c r="C171" s="57"/>
      <c r="D171" s="32"/>
      <c r="E171" s="64"/>
      <c r="F171" s="64"/>
      <c r="G171" s="32"/>
      <c r="H171" s="64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2.75" customHeight="1" x14ac:dyDescent="0.2">
      <c r="A172" s="32"/>
      <c r="B172" s="32"/>
      <c r="C172" s="57"/>
      <c r="D172" s="32"/>
      <c r="E172" s="64"/>
      <c r="F172" s="64"/>
      <c r="G172" s="32"/>
      <c r="H172" s="64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2.75" customHeight="1" x14ac:dyDescent="0.2">
      <c r="A173" s="32"/>
      <c r="B173" s="32"/>
      <c r="C173" s="57"/>
      <c r="D173" s="32"/>
      <c r="E173" s="64"/>
      <c r="F173" s="64"/>
      <c r="G173" s="32"/>
      <c r="H173" s="64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2.75" customHeight="1" x14ac:dyDescent="0.2">
      <c r="A174" s="32"/>
      <c r="B174" s="32"/>
      <c r="C174" s="57"/>
      <c r="D174" s="32"/>
      <c r="E174" s="64"/>
      <c r="F174" s="64"/>
      <c r="G174" s="32"/>
      <c r="H174" s="64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2.75" customHeight="1" x14ac:dyDescent="0.2">
      <c r="A175" s="32"/>
      <c r="B175" s="32"/>
      <c r="C175" s="57"/>
      <c r="D175" s="32"/>
      <c r="E175" s="64"/>
      <c r="F175" s="64"/>
      <c r="G175" s="32"/>
      <c r="H175" s="64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2.75" customHeight="1" x14ac:dyDescent="0.2">
      <c r="A176" s="32"/>
      <c r="B176" s="32"/>
      <c r="C176" s="57"/>
      <c r="D176" s="32"/>
      <c r="E176" s="64"/>
      <c r="F176" s="64"/>
      <c r="G176" s="32"/>
      <c r="H176" s="64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2.75" customHeight="1" x14ac:dyDescent="0.2">
      <c r="A177" s="32"/>
      <c r="B177" s="32"/>
      <c r="C177" s="57"/>
      <c r="D177" s="32"/>
      <c r="E177" s="64"/>
      <c r="F177" s="64"/>
      <c r="G177" s="32"/>
      <c r="H177" s="64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2.75" customHeight="1" x14ac:dyDescent="0.2">
      <c r="A178" s="32"/>
      <c r="B178" s="32"/>
      <c r="C178" s="57"/>
      <c r="D178" s="32"/>
      <c r="E178" s="64"/>
      <c r="F178" s="64"/>
      <c r="G178" s="32"/>
      <c r="H178" s="64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2.75" customHeight="1" x14ac:dyDescent="0.2">
      <c r="A179" s="32"/>
      <c r="B179" s="32"/>
      <c r="C179" s="57"/>
      <c r="D179" s="32"/>
      <c r="E179" s="64"/>
      <c r="F179" s="64"/>
      <c r="G179" s="32"/>
      <c r="H179" s="64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2.75" customHeight="1" x14ac:dyDescent="0.2">
      <c r="A180" s="32"/>
      <c r="B180" s="32"/>
      <c r="C180" s="57"/>
      <c r="D180" s="32"/>
      <c r="E180" s="64"/>
      <c r="F180" s="64"/>
      <c r="G180" s="32"/>
      <c r="H180" s="64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2.75" customHeight="1" x14ac:dyDescent="0.2">
      <c r="A181" s="32"/>
      <c r="B181" s="32"/>
      <c r="C181" s="57"/>
      <c r="D181" s="32"/>
      <c r="E181" s="64"/>
      <c r="F181" s="64"/>
      <c r="G181" s="32"/>
      <c r="H181" s="64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2.75" customHeight="1" x14ac:dyDescent="0.2">
      <c r="A182" s="32"/>
      <c r="B182" s="32"/>
      <c r="C182" s="57"/>
      <c r="D182" s="32"/>
      <c r="E182" s="64"/>
      <c r="F182" s="64"/>
      <c r="G182" s="32"/>
      <c r="H182" s="64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2.75" customHeight="1" x14ac:dyDescent="0.2">
      <c r="A183" s="32"/>
      <c r="B183" s="32"/>
      <c r="C183" s="57"/>
      <c r="D183" s="32"/>
      <c r="E183" s="64"/>
      <c r="F183" s="64"/>
      <c r="G183" s="32"/>
      <c r="H183" s="64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2.75" customHeight="1" x14ac:dyDescent="0.2">
      <c r="A184" s="32"/>
      <c r="B184" s="32"/>
      <c r="C184" s="57"/>
      <c r="D184" s="32"/>
      <c r="E184" s="64"/>
      <c r="F184" s="64"/>
      <c r="G184" s="32"/>
      <c r="H184" s="64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2.75" customHeight="1" x14ac:dyDescent="0.2">
      <c r="A185" s="32"/>
      <c r="B185" s="32"/>
      <c r="C185" s="57"/>
      <c r="D185" s="32"/>
      <c r="E185" s="64"/>
      <c r="F185" s="64"/>
      <c r="G185" s="32"/>
      <c r="H185" s="64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2.75" customHeight="1" x14ac:dyDescent="0.2">
      <c r="A186" s="32"/>
      <c r="B186" s="32"/>
      <c r="C186" s="57"/>
      <c r="D186" s="32"/>
      <c r="E186" s="64"/>
      <c r="F186" s="64"/>
      <c r="G186" s="32"/>
      <c r="H186" s="64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2.75" customHeight="1" x14ac:dyDescent="0.2">
      <c r="A187" s="32"/>
      <c r="B187" s="32"/>
      <c r="C187" s="57"/>
      <c r="D187" s="32"/>
      <c r="E187" s="64"/>
      <c r="F187" s="64"/>
      <c r="G187" s="32"/>
      <c r="H187" s="64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2.75" customHeight="1" x14ac:dyDescent="0.2">
      <c r="A188" s="32"/>
      <c r="B188" s="32"/>
      <c r="C188" s="57"/>
      <c r="D188" s="32"/>
      <c r="E188" s="64"/>
      <c r="F188" s="64"/>
      <c r="G188" s="32"/>
      <c r="H188" s="64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2.75" customHeight="1" x14ac:dyDescent="0.2">
      <c r="A189" s="32"/>
      <c r="B189" s="32"/>
      <c r="C189" s="57"/>
      <c r="D189" s="32"/>
      <c r="E189" s="64"/>
      <c r="F189" s="64"/>
      <c r="G189" s="32"/>
      <c r="H189" s="64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2.75" customHeight="1" x14ac:dyDescent="0.2">
      <c r="A190" s="32"/>
      <c r="B190" s="32"/>
      <c r="C190" s="57"/>
      <c r="D190" s="32"/>
      <c r="E190" s="64"/>
      <c r="F190" s="64"/>
      <c r="G190" s="32"/>
      <c r="H190" s="64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2.75" customHeight="1" x14ac:dyDescent="0.2">
      <c r="A191" s="32"/>
      <c r="B191" s="32"/>
      <c r="C191" s="57"/>
      <c r="D191" s="32"/>
      <c r="E191" s="64"/>
      <c r="F191" s="64"/>
      <c r="G191" s="32"/>
      <c r="H191" s="64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2.75" customHeight="1" x14ac:dyDescent="0.2">
      <c r="A192" s="32"/>
      <c r="B192" s="32"/>
      <c r="C192" s="57"/>
      <c r="D192" s="32"/>
      <c r="E192" s="64"/>
      <c r="F192" s="64"/>
      <c r="G192" s="32"/>
      <c r="H192" s="64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2.75" customHeight="1" x14ac:dyDescent="0.2">
      <c r="A193" s="32"/>
      <c r="B193" s="32"/>
      <c r="C193" s="57"/>
      <c r="D193" s="32"/>
      <c r="E193" s="64"/>
      <c r="F193" s="64"/>
      <c r="G193" s="32"/>
      <c r="H193" s="64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2.75" customHeight="1" x14ac:dyDescent="0.2">
      <c r="A194" s="32"/>
      <c r="B194" s="32"/>
      <c r="C194" s="57"/>
      <c r="D194" s="32"/>
      <c r="E194" s="64"/>
      <c r="F194" s="64"/>
      <c r="G194" s="32"/>
      <c r="H194" s="64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2.75" customHeight="1" x14ac:dyDescent="0.2">
      <c r="A195" s="32"/>
      <c r="B195" s="32"/>
      <c r="C195" s="57"/>
      <c r="D195" s="32"/>
      <c r="E195" s="64"/>
      <c r="F195" s="64"/>
      <c r="G195" s="32"/>
      <c r="H195" s="64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2.75" customHeight="1" x14ac:dyDescent="0.2">
      <c r="A196" s="32"/>
      <c r="B196" s="32"/>
      <c r="C196" s="57"/>
      <c r="D196" s="32"/>
      <c r="E196" s="64"/>
      <c r="F196" s="64"/>
      <c r="G196" s="32"/>
      <c r="H196" s="64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2.75" customHeight="1" x14ac:dyDescent="0.2">
      <c r="A197" s="32"/>
      <c r="B197" s="32"/>
      <c r="C197" s="57"/>
      <c r="D197" s="32"/>
      <c r="E197" s="64"/>
      <c r="F197" s="64"/>
      <c r="G197" s="32"/>
      <c r="H197" s="64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2.75" customHeight="1" x14ac:dyDescent="0.2">
      <c r="A198" s="32"/>
      <c r="B198" s="32"/>
      <c r="C198" s="57"/>
      <c r="D198" s="32"/>
      <c r="E198" s="64"/>
      <c r="F198" s="64"/>
      <c r="G198" s="32"/>
      <c r="H198" s="64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2.75" customHeight="1" x14ac:dyDescent="0.2">
      <c r="A199" s="32"/>
      <c r="B199" s="32"/>
      <c r="C199" s="57"/>
      <c r="D199" s="32"/>
      <c r="E199" s="64"/>
      <c r="F199" s="64"/>
      <c r="G199" s="32"/>
      <c r="H199" s="64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2.75" customHeight="1" x14ac:dyDescent="0.2">
      <c r="A200" s="32"/>
      <c r="B200" s="32"/>
      <c r="C200" s="57"/>
      <c r="D200" s="32"/>
      <c r="E200" s="64"/>
      <c r="F200" s="64"/>
      <c r="G200" s="32"/>
      <c r="H200" s="64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2.75" customHeight="1" x14ac:dyDescent="0.2">
      <c r="A201" s="32"/>
      <c r="B201" s="32"/>
      <c r="C201" s="57"/>
      <c r="D201" s="32"/>
      <c r="E201" s="64"/>
      <c r="F201" s="64"/>
      <c r="G201" s="32"/>
      <c r="H201" s="64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2.75" customHeight="1" x14ac:dyDescent="0.2">
      <c r="A202" s="32"/>
      <c r="B202" s="32"/>
      <c r="C202" s="57"/>
      <c r="D202" s="32"/>
      <c r="E202" s="64"/>
      <c r="F202" s="64"/>
      <c r="G202" s="32"/>
      <c r="H202" s="64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2.75" customHeight="1" x14ac:dyDescent="0.2">
      <c r="A203" s="32"/>
      <c r="B203" s="32"/>
      <c r="C203" s="57"/>
      <c r="D203" s="32"/>
      <c r="E203" s="64"/>
      <c r="F203" s="64"/>
      <c r="G203" s="32"/>
      <c r="H203" s="64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2.75" customHeight="1" x14ac:dyDescent="0.2">
      <c r="A204" s="32"/>
      <c r="B204" s="32"/>
      <c r="C204" s="57"/>
      <c r="D204" s="32"/>
      <c r="E204" s="64"/>
      <c r="F204" s="64"/>
      <c r="G204" s="32"/>
      <c r="H204" s="64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2.75" customHeight="1" x14ac:dyDescent="0.2">
      <c r="A205" s="32"/>
      <c r="B205" s="32"/>
      <c r="C205" s="57"/>
      <c r="D205" s="32"/>
      <c r="E205" s="64"/>
      <c r="F205" s="64"/>
      <c r="G205" s="32"/>
      <c r="H205" s="64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2.75" customHeight="1" x14ac:dyDescent="0.2">
      <c r="A206" s="32"/>
      <c r="B206" s="32"/>
      <c r="C206" s="57"/>
      <c r="D206" s="32"/>
      <c r="E206" s="64"/>
      <c r="F206" s="64"/>
      <c r="G206" s="32"/>
      <c r="H206" s="64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2.75" customHeight="1" x14ac:dyDescent="0.2">
      <c r="A207" s="32"/>
      <c r="B207" s="32"/>
      <c r="C207" s="57"/>
      <c r="D207" s="32"/>
      <c r="E207" s="64"/>
      <c r="F207" s="64"/>
      <c r="G207" s="32"/>
      <c r="H207" s="64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2.75" customHeight="1" x14ac:dyDescent="0.2">
      <c r="A208" s="32"/>
      <c r="B208" s="32"/>
      <c r="C208" s="57"/>
      <c r="D208" s="32"/>
      <c r="E208" s="64"/>
      <c r="F208" s="64"/>
      <c r="G208" s="32"/>
      <c r="H208" s="64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2.75" customHeight="1" x14ac:dyDescent="0.2">
      <c r="A209" s="32"/>
      <c r="B209" s="32"/>
      <c r="C209" s="57"/>
      <c r="D209" s="32"/>
      <c r="E209" s="64"/>
      <c r="F209" s="64"/>
      <c r="G209" s="32"/>
      <c r="H209" s="64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2.75" customHeight="1" x14ac:dyDescent="0.2">
      <c r="A210" s="32"/>
      <c r="B210" s="32"/>
      <c r="C210" s="57"/>
      <c r="D210" s="32"/>
      <c r="E210" s="64"/>
      <c r="F210" s="64"/>
      <c r="G210" s="32"/>
      <c r="H210" s="64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2.75" customHeight="1" x14ac:dyDescent="0.2">
      <c r="A211" s="32"/>
      <c r="B211" s="32"/>
      <c r="C211" s="57"/>
      <c r="D211" s="32"/>
      <c r="E211" s="64"/>
      <c r="F211" s="64"/>
      <c r="G211" s="32"/>
      <c r="H211" s="64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2.75" customHeight="1" x14ac:dyDescent="0.2">
      <c r="A212" s="32"/>
      <c r="B212" s="32"/>
      <c r="C212" s="57"/>
      <c r="D212" s="32"/>
      <c r="E212" s="64"/>
      <c r="F212" s="64"/>
      <c r="G212" s="32"/>
      <c r="H212" s="64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2.75" customHeight="1" x14ac:dyDescent="0.2">
      <c r="A213" s="32"/>
      <c r="B213" s="32"/>
      <c r="C213" s="57"/>
      <c r="D213" s="32"/>
      <c r="E213" s="64"/>
      <c r="F213" s="64"/>
      <c r="G213" s="32"/>
      <c r="H213" s="64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2.75" customHeight="1" x14ac:dyDescent="0.2">
      <c r="A214" s="32"/>
      <c r="B214" s="32"/>
      <c r="C214" s="57"/>
      <c r="D214" s="32"/>
      <c r="E214" s="64"/>
      <c r="F214" s="64"/>
      <c r="G214" s="32"/>
      <c r="H214" s="64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2.75" customHeight="1" x14ac:dyDescent="0.2">
      <c r="A215" s="32"/>
      <c r="B215" s="32"/>
      <c r="C215" s="57"/>
      <c r="D215" s="32"/>
      <c r="E215" s="64"/>
      <c r="F215" s="64"/>
      <c r="G215" s="32"/>
      <c r="H215" s="64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2.75" customHeight="1" x14ac:dyDescent="0.2">
      <c r="A216" s="32"/>
      <c r="B216" s="32"/>
      <c r="C216" s="57"/>
      <c r="D216" s="32"/>
      <c r="E216" s="64"/>
      <c r="F216" s="64"/>
      <c r="G216" s="32"/>
      <c r="H216" s="64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2.75" customHeight="1" x14ac:dyDescent="0.2">
      <c r="A217" s="32"/>
      <c r="B217" s="32"/>
      <c r="C217" s="57"/>
      <c r="D217" s="32"/>
      <c r="E217" s="64"/>
      <c r="F217" s="64"/>
      <c r="G217" s="32"/>
      <c r="H217" s="64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2.75" customHeight="1" x14ac:dyDescent="0.2">
      <c r="A218" s="32"/>
      <c r="B218" s="32"/>
      <c r="C218" s="57"/>
      <c r="D218" s="32"/>
      <c r="E218" s="64"/>
      <c r="F218" s="64"/>
      <c r="G218" s="32"/>
      <c r="H218" s="64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2.75" customHeight="1" x14ac:dyDescent="0.2">
      <c r="A219" s="32"/>
      <c r="B219" s="32"/>
      <c r="C219" s="57"/>
      <c r="D219" s="32"/>
      <c r="E219" s="64"/>
      <c r="F219" s="64"/>
      <c r="G219" s="32"/>
      <c r="H219" s="64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2.75" customHeight="1" x14ac:dyDescent="0.2">
      <c r="A220" s="32"/>
      <c r="B220" s="32"/>
      <c r="C220" s="57"/>
      <c r="D220" s="32"/>
      <c r="E220" s="64"/>
      <c r="F220" s="64"/>
      <c r="G220" s="32"/>
      <c r="H220" s="64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2.75" customHeight="1" x14ac:dyDescent="0.2">
      <c r="A221" s="32"/>
      <c r="B221" s="32"/>
      <c r="C221" s="57"/>
      <c r="D221" s="32"/>
      <c r="E221" s="64"/>
      <c r="F221" s="64"/>
      <c r="G221" s="32"/>
      <c r="H221" s="64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2.75" customHeight="1" x14ac:dyDescent="0.2">
      <c r="A222" s="32"/>
      <c r="B222" s="32"/>
      <c r="C222" s="57"/>
      <c r="D222" s="32"/>
      <c r="E222" s="64"/>
      <c r="F222" s="64"/>
      <c r="G222" s="32"/>
      <c r="H222" s="64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2.75" customHeight="1" x14ac:dyDescent="0.2">
      <c r="A223" s="32"/>
      <c r="B223" s="32"/>
      <c r="C223" s="57"/>
      <c r="D223" s="32"/>
      <c r="E223" s="64"/>
      <c r="F223" s="64"/>
      <c r="G223" s="32"/>
      <c r="H223" s="64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2.75" customHeight="1" x14ac:dyDescent="0.2">
      <c r="A224" s="32"/>
      <c r="B224" s="32"/>
      <c r="C224" s="57"/>
      <c r="D224" s="32"/>
      <c r="E224" s="64"/>
      <c r="F224" s="64"/>
      <c r="G224" s="32"/>
      <c r="H224" s="64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2.75" customHeight="1" x14ac:dyDescent="0.2">
      <c r="A225" s="32"/>
      <c r="B225" s="32"/>
      <c r="C225" s="57"/>
      <c r="D225" s="32"/>
      <c r="E225" s="64"/>
      <c r="F225" s="64"/>
      <c r="G225" s="32"/>
      <c r="H225" s="64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2.75" customHeight="1" x14ac:dyDescent="0.2">
      <c r="A226" s="32"/>
      <c r="B226" s="32"/>
      <c r="C226" s="57"/>
      <c r="D226" s="32"/>
      <c r="E226" s="64"/>
      <c r="F226" s="64"/>
      <c r="G226" s="32"/>
      <c r="H226" s="64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2.75" customHeight="1" x14ac:dyDescent="0.2">
      <c r="A227" s="32"/>
      <c r="B227" s="32"/>
      <c r="C227" s="57"/>
      <c r="D227" s="32"/>
      <c r="E227" s="64"/>
      <c r="F227" s="64"/>
      <c r="G227" s="32"/>
      <c r="H227" s="64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2.75" customHeight="1" x14ac:dyDescent="0.2">
      <c r="A228" s="32"/>
      <c r="B228" s="32"/>
      <c r="C228" s="57"/>
      <c r="D228" s="32"/>
      <c r="E228" s="64"/>
      <c r="F228" s="64"/>
      <c r="G228" s="32"/>
      <c r="H228" s="64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2.75" customHeight="1" x14ac:dyDescent="0.2">
      <c r="A229" s="32"/>
      <c r="B229" s="32"/>
      <c r="C229" s="57"/>
      <c r="D229" s="32"/>
      <c r="E229" s="64"/>
      <c r="F229" s="64"/>
      <c r="G229" s="32"/>
      <c r="H229" s="64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2.75" customHeight="1" x14ac:dyDescent="0.2">
      <c r="A230" s="32"/>
      <c r="B230" s="32"/>
      <c r="C230" s="57"/>
      <c r="D230" s="32"/>
      <c r="E230" s="64"/>
      <c r="F230" s="64"/>
      <c r="G230" s="32"/>
      <c r="H230" s="64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2.75" customHeight="1" x14ac:dyDescent="0.2">
      <c r="A231" s="32"/>
      <c r="B231" s="32"/>
      <c r="C231" s="57"/>
      <c r="D231" s="32"/>
      <c r="E231" s="64"/>
      <c r="F231" s="64"/>
      <c r="G231" s="32"/>
      <c r="H231" s="64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2.75" customHeight="1" x14ac:dyDescent="0.2">
      <c r="A232" s="32"/>
      <c r="B232" s="32"/>
      <c r="C232" s="57"/>
      <c r="D232" s="32"/>
      <c r="E232" s="64"/>
      <c r="F232" s="64"/>
      <c r="G232" s="32"/>
      <c r="H232" s="64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2.75" customHeight="1" x14ac:dyDescent="0.2">
      <c r="A233" s="32"/>
      <c r="B233" s="32"/>
      <c r="C233" s="57"/>
      <c r="D233" s="32"/>
      <c r="E233" s="64"/>
      <c r="F233" s="64"/>
      <c r="G233" s="32"/>
      <c r="H233" s="64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2.75" customHeight="1" x14ac:dyDescent="0.2">
      <c r="A234" s="32"/>
      <c r="B234" s="32"/>
      <c r="C234" s="57"/>
      <c r="D234" s="32"/>
      <c r="E234" s="64"/>
      <c r="F234" s="64"/>
      <c r="G234" s="32"/>
      <c r="H234" s="64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2.75" customHeight="1" x14ac:dyDescent="0.2">
      <c r="A235" s="32"/>
      <c r="B235" s="32"/>
      <c r="C235" s="57"/>
      <c r="D235" s="32"/>
      <c r="E235" s="64"/>
      <c r="F235" s="64"/>
      <c r="G235" s="32"/>
      <c r="H235" s="64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2.75" customHeight="1" x14ac:dyDescent="0.2">
      <c r="A236" s="32"/>
      <c r="B236" s="32"/>
      <c r="C236" s="57"/>
      <c r="D236" s="32"/>
      <c r="E236" s="64"/>
      <c r="F236" s="64"/>
      <c r="G236" s="32"/>
      <c r="H236" s="64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2.75" customHeight="1" x14ac:dyDescent="0.2">
      <c r="A237" s="32"/>
      <c r="B237" s="32"/>
      <c r="C237" s="57"/>
      <c r="D237" s="32"/>
      <c r="E237" s="64"/>
      <c r="F237" s="64"/>
      <c r="G237" s="32"/>
      <c r="H237" s="64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2.75" customHeight="1" x14ac:dyDescent="0.2">
      <c r="A238" s="32"/>
      <c r="B238" s="32"/>
      <c r="C238" s="57"/>
      <c r="D238" s="32"/>
      <c r="E238" s="64"/>
      <c r="F238" s="64"/>
      <c r="G238" s="32"/>
      <c r="H238" s="64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2.75" customHeight="1" x14ac:dyDescent="0.2">
      <c r="A239" s="32"/>
      <c r="B239" s="32"/>
      <c r="C239" s="57"/>
      <c r="D239" s="32"/>
      <c r="E239" s="64"/>
      <c r="F239" s="64"/>
      <c r="G239" s="32"/>
      <c r="H239" s="64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2.75" customHeight="1" x14ac:dyDescent="0.2">
      <c r="A240" s="32"/>
      <c r="B240" s="32"/>
      <c r="C240" s="57"/>
      <c r="D240" s="32"/>
      <c r="E240" s="64"/>
      <c r="F240" s="64"/>
      <c r="G240" s="32"/>
      <c r="H240" s="64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2.75" customHeight="1" x14ac:dyDescent="0.2">
      <c r="A241" s="32"/>
      <c r="B241" s="32"/>
      <c r="C241" s="57"/>
      <c r="D241" s="32"/>
      <c r="E241" s="64"/>
      <c r="F241" s="64"/>
      <c r="G241" s="32"/>
      <c r="H241" s="64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2.75" customHeight="1" x14ac:dyDescent="0.2">
      <c r="A242" s="32"/>
      <c r="B242" s="32"/>
      <c r="C242" s="57"/>
      <c r="D242" s="32"/>
      <c r="E242" s="64"/>
      <c r="F242" s="64"/>
      <c r="G242" s="32"/>
      <c r="H242" s="64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2.75" customHeight="1" x14ac:dyDescent="0.2">
      <c r="A243" s="32"/>
      <c r="B243" s="32"/>
      <c r="C243" s="57"/>
      <c r="D243" s="32"/>
      <c r="E243" s="64"/>
      <c r="F243" s="64"/>
      <c r="G243" s="32"/>
      <c r="H243" s="64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2.75" customHeight="1" x14ac:dyDescent="0.2">
      <c r="A244" s="32"/>
      <c r="B244" s="32"/>
      <c r="C244" s="57"/>
      <c r="D244" s="32"/>
      <c r="E244" s="64"/>
      <c r="F244" s="64"/>
      <c r="G244" s="32"/>
      <c r="H244" s="64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2.75" customHeight="1" x14ac:dyDescent="0.2">
      <c r="A245" s="32"/>
      <c r="B245" s="32"/>
      <c r="C245" s="57"/>
      <c r="D245" s="32"/>
      <c r="E245" s="64"/>
      <c r="F245" s="64"/>
      <c r="G245" s="32"/>
      <c r="H245" s="64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2.75" customHeight="1" x14ac:dyDescent="0.2">
      <c r="A246" s="32"/>
      <c r="B246" s="32"/>
      <c r="C246" s="57"/>
      <c r="D246" s="32"/>
      <c r="E246" s="64"/>
      <c r="F246" s="64"/>
      <c r="G246" s="32"/>
      <c r="H246" s="64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2.75" customHeight="1" x14ac:dyDescent="0.2">
      <c r="A247" s="32"/>
      <c r="B247" s="32"/>
      <c r="C247" s="57"/>
      <c r="D247" s="32"/>
      <c r="E247" s="64"/>
      <c r="F247" s="64"/>
      <c r="G247" s="32"/>
      <c r="H247" s="64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2.75" customHeight="1" x14ac:dyDescent="0.2">
      <c r="A248" s="32"/>
      <c r="B248" s="32"/>
      <c r="C248" s="57"/>
      <c r="D248" s="32"/>
      <c r="E248" s="64"/>
      <c r="F248" s="64"/>
      <c r="G248" s="32"/>
      <c r="H248" s="64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2.75" customHeight="1" x14ac:dyDescent="0.2">
      <c r="A249" s="32"/>
      <c r="B249" s="32"/>
      <c r="C249" s="57"/>
      <c r="D249" s="32"/>
      <c r="E249" s="64"/>
      <c r="F249" s="64"/>
      <c r="G249" s="32"/>
      <c r="H249" s="64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2.75" customHeight="1" x14ac:dyDescent="0.2">
      <c r="A250" s="32"/>
      <c r="B250" s="32"/>
      <c r="C250" s="57"/>
      <c r="D250" s="32"/>
      <c r="E250" s="64"/>
      <c r="F250" s="64"/>
      <c r="G250" s="32"/>
      <c r="H250" s="64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2.75" customHeight="1" x14ac:dyDescent="0.2">
      <c r="A251" s="32"/>
      <c r="B251" s="32"/>
      <c r="C251" s="57"/>
      <c r="D251" s="32"/>
      <c r="E251" s="64"/>
      <c r="F251" s="64"/>
      <c r="G251" s="32"/>
      <c r="H251" s="64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2.75" customHeight="1" x14ac:dyDescent="0.2">
      <c r="A252" s="32"/>
      <c r="B252" s="32"/>
      <c r="C252" s="57"/>
      <c r="D252" s="32"/>
      <c r="E252" s="64"/>
      <c r="F252" s="64"/>
      <c r="G252" s="32"/>
      <c r="H252" s="64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2.75" customHeight="1" x14ac:dyDescent="0.2">
      <c r="A253" s="32"/>
      <c r="B253" s="32"/>
      <c r="C253" s="57"/>
      <c r="D253" s="32"/>
      <c r="E253" s="64"/>
      <c r="F253" s="64"/>
      <c r="G253" s="32"/>
      <c r="H253" s="64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2.75" customHeight="1" x14ac:dyDescent="0.2">
      <c r="A254" s="32"/>
      <c r="B254" s="32"/>
      <c r="C254" s="57"/>
      <c r="D254" s="32"/>
      <c r="E254" s="64"/>
      <c r="F254" s="64"/>
      <c r="G254" s="32"/>
      <c r="H254" s="64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2.75" customHeight="1" x14ac:dyDescent="0.2">
      <c r="A255" s="32"/>
      <c r="B255" s="32"/>
      <c r="C255" s="57"/>
      <c r="D255" s="32"/>
      <c r="E255" s="64"/>
      <c r="F255" s="64"/>
      <c r="G255" s="32"/>
      <c r="H255" s="64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2.75" customHeight="1" x14ac:dyDescent="0.2">
      <c r="A256" s="32"/>
      <c r="B256" s="32"/>
      <c r="C256" s="57"/>
      <c r="D256" s="32"/>
      <c r="E256" s="64"/>
      <c r="F256" s="64"/>
      <c r="G256" s="32"/>
      <c r="H256" s="64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2.75" customHeight="1" x14ac:dyDescent="0.2">
      <c r="A257" s="32"/>
      <c r="B257" s="32"/>
      <c r="C257" s="57"/>
      <c r="D257" s="32"/>
      <c r="E257" s="64"/>
      <c r="F257" s="64"/>
      <c r="G257" s="32"/>
      <c r="H257" s="64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2.75" customHeight="1" x14ac:dyDescent="0.2">
      <c r="A258" s="32"/>
      <c r="B258" s="32"/>
      <c r="C258" s="57"/>
      <c r="D258" s="32"/>
      <c r="E258" s="64"/>
      <c r="F258" s="64"/>
      <c r="G258" s="32"/>
      <c r="H258" s="64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2.75" customHeight="1" x14ac:dyDescent="0.2">
      <c r="A259" s="32"/>
      <c r="B259" s="32"/>
      <c r="C259" s="57"/>
      <c r="D259" s="32"/>
      <c r="E259" s="64"/>
      <c r="F259" s="64"/>
      <c r="G259" s="32"/>
      <c r="H259" s="64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2.75" customHeight="1" x14ac:dyDescent="0.2">
      <c r="A260" s="32"/>
      <c r="B260" s="32"/>
      <c r="C260" s="57"/>
      <c r="D260" s="32"/>
      <c r="E260" s="64"/>
      <c r="F260" s="64"/>
      <c r="G260" s="32"/>
      <c r="H260" s="64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2.75" customHeight="1" x14ac:dyDescent="0.2">
      <c r="A261" s="32"/>
      <c r="B261" s="32"/>
      <c r="C261" s="57"/>
      <c r="D261" s="32"/>
      <c r="E261" s="64"/>
      <c r="F261" s="64"/>
      <c r="G261" s="32"/>
      <c r="H261" s="64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2.75" customHeight="1" x14ac:dyDescent="0.2">
      <c r="A262" s="32"/>
      <c r="B262" s="32"/>
      <c r="C262" s="57"/>
      <c r="D262" s="32"/>
      <c r="E262" s="64"/>
      <c r="F262" s="64"/>
      <c r="G262" s="32"/>
      <c r="H262" s="64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2.75" customHeight="1" x14ac:dyDescent="0.2">
      <c r="A263" s="32"/>
      <c r="B263" s="32"/>
      <c r="C263" s="57"/>
      <c r="D263" s="32"/>
      <c r="E263" s="64"/>
      <c r="F263" s="64"/>
      <c r="G263" s="32"/>
      <c r="H263" s="64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2.75" customHeight="1" x14ac:dyDescent="0.2">
      <c r="A264" s="32"/>
      <c r="B264" s="32"/>
      <c r="C264" s="57"/>
      <c r="D264" s="32"/>
      <c r="E264" s="64"/>
      <c r="F264" s="64"/>
      <c r="G264" s="32"/>
      <c r="H264" s="64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2.75" customHeight="1" x14ac:dyDescent="0.2">
      <c r="A265" s="32"/>
      <c r="B265" s="32"/>
      <c r="C265" s="57"/>
      <c r="D265" s="32"/>
      <c r="E265" s="64"/>
      <c r="F265" s="64"/>
      <c r="G265" s="32"/>
      <c r="H265" s="64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2.75" customHeight="1" x14ac:dyDescent="0.2">
      <c r="A266" s="32"/>
      <c r="B266" s="32"/>
      <c r="C266" s="57"/>
      <c r="D266" s="32"/>
      <c r="E266" s="64"/>
      <c r="F266" s="64"/>
      <c r="G266" s="32"/>
      <c r="H266" s="64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2.75" customHeight="1" x14ac:dyDescent="0.2">
      <c r="A267" s="32"/>
      <c r="B267" s="32"/>
      <c r="C267" s="57"/>
      <c r="D267" s="32"/>
      <c r="E267" s="64"/>
      <c r="F267" s="64"/>
      <c r="G267" s="32"/>
      <c r="H267" s="64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2.75" customHeight="1" x14ac:dyDescent="0.2">
      <c r="A268" s="32"/>
      <c r="B268" s="32"/>
      <c r="C268" s="57"/>
      <c r="D268" s="32"/>
      <c r="E268" s="64"/>
      <c r="F268" s="64"/>
      <c r="G268" s="32"/>
      <c r="H268" s="64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2.75" customHeight="1" x14ac:dyDescent="0.2">
      <c r="A269" s="32"/>
      <c r="B269" s="32"/>
      <c r="C269" s="57"/>
      <c r="D269" s="32"/>
      <c r="E269" s="64"/>
      <c r="F269" s="64"/>
      <c r="G269" s="32"/>
      <c r="H269" s="64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2.75" customHeight="1" x14ac:dyDescent="0.2">
      <c r="A270" s="32"/>
      <c r="B270" s="32"/>
      <c r="C270" s="57"/>
      <c r="D270" s="32"/>
      <c r="E270" s="64"/>
      <c r="F270" s="64"/>
      <c r="G270" s="32"/>
      <c r="H270" s="64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2.75" customHeight="1" x14ac:dyDescent="0.2">
      <c r="A271" s="32"/>
      <c r="B271" s="32"/>
      <c r="C271" s="57"/>
      <c r="D271" s="32"/>
      <c r="E271" s="64"/>
      <c r="F271" s="64"/>
      <c r="G271" s="32"/>
      <c r="H271" s="64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2.75" customHeight="1" x14ac:dyDescent="0.2">
      <c r="A272" s="32"/>
      <c r="B272" s="32"/>
      <c r="C272" s="57"/>
      <c r="D272" s="32"/>
      <c r="E272" s="64"/>
      <c r="F272" s="64"/>
      <c r="G272" s="32"/>
      <c r="H272" s="64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2.75" customHeight="1" x14ac:dyDescent="0.2">
      <c r="A273" s="32"/>
      <c r="B273" s="32"/>
      <c r="C273" s="57"/>
      <c r="D273" s="32"/>
      <c r="E273" s="64"/>
      <c r="F273" s="64"/>
      <c r="G273" s="32"/>
      <c r="H273" s="64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2.75" customHeight="1" x14ac:dyDescent="0.2">
      <c r="A274" s="32"/>
      <c r="B274" s="32"/>
      <c r="C274" s="57"/>
      <c r="D274" s="32"/>
      <c r="E274" s="64"/>
      <c r="F274" s="64"/>
      <c r="G274" s="32"/>
      <c r="H274" s="64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2.75" customHeight="1" x14ac:dyDescent="0.2">
      <c r="A275" s="32"/>
      <c r="B275" s="32"/>
      <c r="C275" s="57"/>
      <c r="D275" s="32"/>
      <c r="E275" s="64"/>
      <c r="F275" s="64"/>
      <c r="G275" s="32"/>
      <c r="H275" s="64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2.75" customHeight="1" x14ac:dyDescent="0.2">
      <c r="A276" s="32"/>
      <c r="B276" s="32"/>
      <c r="C276" s="57"/>
      <c r="D276" s="32"/>
      <c r="E276" s="64"/>
      <c r="F276" s="64"/>
      <c r="G276" s="32"/>
      <c r="H276" s="64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2.75" customHeight="1" x14ac:dyDescent="0.2">
      <c r="A277" s="32"/>
      <c r="B277" s="32"/>
      <c r="C277" s="57"/>
      <c r="D277" s="32"/>
      <c r="E277" s="64"/>
      <c r="F277" s="64"/>
      <c r="G277" s="32"/>
      <c r="H277" s="64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2.75" customHeight="1" x14ac:dyDescent="0.2">
      <c r="A278" s="32"/>
      <c r="B278" s="32"/>
      <c r="C278" s="57"/>
      <c r="D278" s="32"/>
      <c r="E278" s="64"/>
      <c r="F278" s="64"/>
      <c r="G278" s="32"/>
      <c r="H278" s="64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2.75" customHeight="1" x14ac:dyDescent="0.2">
      <c r="A279" s="32"/>
      <c r="B279" s="32"/>
      <c r="C279" s="57"/>
      <c r="D279" s="32"/>
      <c r="E279" s="64"/>
      <c r="F279" s="64"/>
      <c r="G279" s="32"/>
      <c r="H279" s="64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2.75" customHeight="1" x14ac:dyDescent="0.2">
      <c r="A280" s="32"/>
      <c r="B280" s="32"/>
      <c r="C280" s="57"/>
      <c r="D280" s="32"/>
      <c r="E280" s="64"/>
      <c r="F280" s="64"/>
      <c r="G280" s="32"/>
      <c r="H280" s="64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2.75" customHeight="1" x14ac:dyDescent="0.2">
      <c r="A281" s="32"/>
      <c r="B281" s="32"/>
      <c r="C281" s="57"/>
      <c r="D281" s="32"/>
      <c r="E281" s="64"/>
      <c r="F281" s="64"/>
      <c r="G281" s="32"/>
      <c r="H281" s="64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2.75" customHeight="1" x14ac:dyDescent="0.2">
      <c r="A282" s="32"/>
      <c r="B282" s="32"/>
      <c r="C282" s="57"/>
      <c r="D282" s="32"/>
      <c r="E282" s="64"/>
      <c r="F282" s="64"/>
      <c r="G282" s="32"/>
      <c r="H282" s="64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2.75" customHeight="1" x14ac:dyDescent="0.2">
      <c r="A283" s="32"/>
      <c r="B283" s="32"/>
      <c r="C283" s="57"/>
      <c r="D283" s="32"/>
      <c r="E283" s="64"/>
      <c r="F283" s="64"/>
      <c r="G283" s="32"/>
      <c r="H283" s="64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2.75" customHeight="1" x14ac:dyDescent="0.2">
      <c r="A284" s="32"/>
      <c r="B284" s="32"/>
      <c r="C284" s="57"/>
      <c r="D284" s="32"/>
      <c r="E284" s="64"/>
      <c r="F284" s="64"/>
      <c r="G284" s="32"/>
      <c r="H284" s="64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2.75" customHeight="1" x14ac:dyDescent="0.2">
      <c r="A285" s="32"/>
      <c r="B285" s="32"/>
      <c r="C285" s="57"/>
      <c r="D285" s="32"/>
      <c r="E285" s="64"/>
      <c r="F285" s="64"/>
      <c r="G285" s="32"/>
      <c r="H285" s="64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2.75" customHeight="1" x14ac:dyDescent="0.2">
      <c r="A286" s="32"/>
      <c r="B286" s="32"/>
      <c r="C286" s="57"/>
      <c r="D286" s="32"/>
      <c r="E286" s="64"/>
      <c r="F286" s="64"/>
      <c r="G286" s="32"/>
      <c r="H286" s="64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2.75" customHeight="1" x14ac:dyDescent="0.2">
      <c r="A287" s="32"/>
      <c r="B287" s="32"/>
      <c r="C287" s="57"/>
      <c r="D287" s="32"/>
      <c r="E287" s="64"/>
      <c r="F287" s="64"/>
      <c r="G287" s="32"/>
      <c r="H287" s="64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2.75" customHeight="1" x14ac:dyDescent="0.2">
      <c r="A288" s="32"/>
      <c r="B288" s="32"/>
      <c r="C288" s="57"/>
      <c r="D288" s="32"/>
      <c r="E288" s="64"/>
      <c r="F288" s="64"/>
      <c r="G288" s="32"/>
      <c r="H288" s="64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2.75" customHeight="1" x14ac:dyDescent="0.2">
      <c r="A289" s="32"/>
      <c r="B289" s="32"/>
      <c r="C289" s="57"/>
      <c r="D289" s="32"/>
      <c r="E289" s="64"/>
      <c r="F289" s="64"/>
      <c r="G289" s="32"/>
      <c r="H289" s="64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2.75" customHeight="1" x14ac:dyDescent="0.2">
      <c r="A290" s="32"/>
      <c r="B290" s="32"/>
      <c r="C290" s="57"/>
      <c r="D290" s="32"/>
      <c r="E290" s="64"/>
      <c r="F290" s="64"/>
      <c r="G290" s="32"/>
      <c r="H290" s="64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2.75" customHeight="1" x14ac:dyDescent="0.2">
      <c r="A291" s="32"/>
      <c r="B291" s="32"/>
      <c r="C291" s="57"/>
      <c r="D291" s="32"/>
      <c r="E291" s="64"/>
      <c r="F291" s="64"/>
      <c r="G291" s="32"/>
      <c r="H291" s="64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2.75" customHeight="1" x14ac:dyDescent="0.2">
      <c r="A292" s="32"/>
      <c r="B292" s="32"/>
      <c r="C292" s="57"/>
      <c r="D292" s="32"/>
      <c r="E292" s="64"/>
      <c r="F292" s="64"/>
      <c r="G292" s="32"/>
      <c r="H292" s="64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2.75" customHeight="1" x14ac:dyDescent="0.2">
      <c r="A293" s="32"/>
      <c r="B293" s="32"/>
      <c r="C293" s="57"/>
      <c r="D293" s="32"/>
      <c r="E293" s="64"/>
      <c r="F293" s="64"/>
      <c r="G293" s="32"/>
      <c r="H293" s="64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2.75" customHeight="1" x14ac:dyDescent="0.2">
      <c r="A294" s="32"/>
      <c r="B294" s="32"/>
      <c r="C294" s="57"/>
      <c r="D294" s="32"/>
      <c r="E294" s="64"/>
      <c r="F294" s="64"/>
      <c r="G294" s="32"/>
      <c r="H294" s="64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2.75" customHeight="1" x14ac:dyDescent="0.2">
      <c r="A295" s="32"/>
      <c r="B295" s="32"/>
      <c r="C295" s="57"/>
      <c r="D295" s="32"/>
      <c r="E295" s="64"/>
      <c r="F295" s="64"/>
      <c r="G295" s="32"/>
      <c r="H295" s="64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2.75" customHeight="1" x14ac:dyDescent="0.2">
      <c r="A296" s="32"/>
      <c r="B296" s="32"/>
      <c r="C296" s="57"/>
      <c r="D296" s="32"/>
      <c r="E296" s="64"/>
      <c r="F296" s="64"/>
      <c r="G296" s="32"/>
      <c r="H296" s="64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2.75" customHeight="1" x14ac:dyDescent="0.2">
      <c r="A297" s="32"/>
      <c r="B297" s="32"/>
      <c r="C297" s="57"/>
      <c r="D297" s="32"/>
      <c r="E297" s="64"/>
      <c r="F297" s="64"/>
      <c r="G297" s="32"/>
      <c r="H297" s="64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2.75" customHeight="1" x14ac:dyDescent="0.2">
      <c r="A298" s="32"/>
      <c r="B298" s="32"/>
      <c r="C298" s="57"/>
      <c r="D298" s="32"/>
      <c r="E298" s="64"/>
      <c r="F298" s="64"/>
      <c r="G298" s="32"/>
      <c r="H298" s="64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2.75" customHeight="1" x14ac:dyDescent="0.2">
      <c r="A299" s="32"/>
      <c r="B299" s="32"/>
      <c r="C299" s="57"/>
      <c r="D299" s="32"/>
      <c r="E299" s="64"/>
      <c r="F299" s="64"/>
      <c r="G299" s="32"/>
      <c r="H299" s="64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2.75" customHeight="1" x14ac:dyDescent="0.2">
      <c r="A300" s="32"/>
      <c r="B300" s="32"/>
      <c r="C300" s="57"/>
      <c r="D300" s="32"/>
      <c r="E300" s="64"/>
      <c r="F300" s="64"/>
      <c r="G300" s="32"/>
      <c r="H300" s="64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2.75" customHeight="1" x14ac:dyDescent="0.2">
      <c r="A301" s="32"/>
      <c r="B301" s="32"/>
      <c r="C301" s="57"/>
      <c r="D301" s="32"/>
      <c r="E301" s="64"/>
      <c r="F301" s="64"/>
      <c r="G301" s="32"/>
      <c r="H301" s="64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2.75" customHeight="1" x14ac:dyDescent="0.2">
      <c r="A302" s="32"/>
      <c r="B302" s="32"/>
      <c r="C302" s="57"/>
      <c r="D302" s="32"/>
      <c r="E302" s="64"/>
      <c r="F302" s="64"/>
      <c r="G302" s="32"/>
      <c r="H302" s="64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2.75" customHeight="1" x14ac:dyDescent="0.2">
      <c r="A303" s="32"/>
      <c r="B303" s="32"/>
      <c r="C303" s="57"/>
      <c r="D303" s="32"/>
      <c r="E303" s="64"/>
      <c r="F303" s="64"/>
      <c r="G303" s="32"/>
      <c r="H303" s="64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2.75" customHeight="1" x14ac:dyDescent="0.2">
      <c r="A304" s="32"/>
      <c r="B304" s="32"/>
      <c r="C304" s="57"/>
      <c r="D304" s="32"/>
      <c r="E304" s="64"/>
      <c r="F304" s="64"/>
      <c r="G304" s="32"/>
      <c r="H304" s="64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2.75" customHeight="1" x14ac:dyDescent="0.2">
      <c r="A305" s="32"/>
      <c r="B305" s="32"/>
      <c r="C305" s="57"/>
      <c r="D305" s="32"/>
      <c r="E305" s="64"/>
      <c r="F305" s="64"/>
      <c r="G305" s="32"/>
      <c r="H305" s="64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2.75" customHeight="1" x14ac:dyDescent="0.2">
      <c r="A306" s="32"/>
      <c r="B306" s="32"/>
      <c r="C306" s="57"/>
      <c r="D306" s="32"/>
      <c r="E306" s="64"/>
      <c r="F306" s="64"/>
      <c r="G306" s="32"/>
      <c r="H306" s="64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2.75" customHeight="1" x14ac:dyDescent="0.2">
      <c r="A307" s="32"/>
      <c r="B307" s="32"/>
      <c r="C307" s="57"/>
      <c r="D307" s="32"/>
      <c r="E307" s="64"/>
      <c r="F307" s="64"/>
      <c r="G307" s="32"/>
      <c r="H307" s="64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2.75" customHeight="1" x14ac:dyDescent="0.2">
      <c r="A308" s="32"/>
      <c r="B308" s="32"/>
      <c r="C308" s="57"/>
      <c r="D308" s="32"/>
      <c r="E308" s="64"/>
      <c r="F308" s="64"/>
      <c r="G308" s="32"/>
      <c r="H308" s="64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2.75" customHeight="1" x14ac:dyDescent="0.2">
      <c r="A309" s="32"/>
      <c r="B309" s="32"/>
      <c r="C309" s="57"/>
      <c r="D309" s="32"/>
      <c r="E309" s="64"/>
      <c r="F309" s="64"/>
      <c r="G309" s="32"/>
      <c r="H309" s="64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2.75" customHeight="1" x14ac:dyDescent="0.2">
      <c r="A310" s="32"/>
      <c r="B310" s="32"/>
      <c r="C310" s="57"/>
      <c r="D310" s="32"/>
      <c r="E310" s="64"/>
      <c r="F310" s="64"/>
      <c r="G310" s="32"/>
      <c r="H310" s="64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2.75" customHeight="1" x14ac:dyDescent="0.2">
      <c r="A311" s="32"/>
      <c r="B311" s="32"/>
      <c r="C311" s="57"/>
      <c r="D311" s="32"/>
      <c r="E311" s="64"/>
      <c r="F311" s="64"/>
      <c r="G311" s="32"/>
      <c r="H311" s="64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2.75" customHeight="1" x14ac:dyDescent="0.2">
      <c r="A312" s="32"/>
      <c r="B312" s="32"/>
      <c r="C312" s="57"/>
      <c r="D312" s="32"/>
      <c r="E312" s="64"/>
      <c r="F312" s="64"/>
      <c r="G312" s="32"/>
      <c r="H312" s="64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2.75" customHeight="1" x14ac:dyDescent="0.2">
      <c r="A313" s="32"/>
      <c r="B313" s="32"/>
      <c r="C313" s="57"/>
      <c r="D313" s="32"/>
      <c r="E313" s="64"/>
      <c r="F313" s="64"/>
      <c r="G313" s="32"/>
      <c r="H313" s="64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2.75" customHeight="1" x14ac:dyDescent="0.2">
      <c r="A314" s="32"/>
      <c r="B314" s="32"/>
      <c r="C314" s="57"/>
      <c r="D314" s="32"/>
      <c r="E314" s="64"/>
      <c r="F314" s="64"/>
      <c r="G314" s="32"/>
      <c r="H314" s="64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2.75" customHeight="1" x14ac:dyDescent="0.2">
      <c r="A315" s="32"/>
      <c r="B315" s="32"/>
      <c r="C315" s="57"/>
      <c r="D315" s="32"/>
      <c r="E315" s="64"/>
      <c r="F315" s="64"/>
      <c r="G315" s="32"/>
      <c r="H315" s="64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2.75" customHeight="1" x14ac:dyDescent="0.2">
      <c r="A316" s="32"/>
      <c r="B316" s="32"/>
      <c r="C316" s="57"/>
      <c r="D316" s="32"/>
      <c r="E316" s="64"/>
      <c r="F316" s="64"/>
      <c r="G316" s="32"/>
      <c r="H316" s="64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2.75" customHeight="1" x14ac:dyDescent="0.2">
      <c r="A317" s="32"/>
      <c r="B317" s="32"/>
      <c r="C317" s="57"/>
      <c r="D317" s="32"/>
      <c r="E317" s="64"/>
      <c r="F317" s="64"/>
      <c r="G317" s="32"/>
      <c r="H317" s="64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2.75" customHeight="1" x14ac:dyDescent="0.2">
      <c r="A318" s="32"/>
      <c r="B318" s="32"/>
      <c r="C318" s="57"/>
      <c r="D318" s="32"/>
      <c r="E318" s="64"/>
      <c r="F318" s="64"/>
      <c r="G318" s="32"/>
      <c r="H318" s="64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2.75" customHeight="1" x14ac:dyDescent="0.2">
      <c r="A319" s="32"/>
      <c r="B319" s="32"/>
      <c r="C319" s="57"/>
      <c r="D319" s="32"/>
      <c r="E319" s="64"/>
      <c r="F319" s="64"/>
      <c r="G319" s="32"/>
      <c r="H319" s="64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2.75" customHeight="1" x14ac:dyDescent="0.2">
      <c r="A320" s="32"/>
      <c r="B320" s="32"/>
      <c r="C320" s="57"/>
      <c r="D320" s="32"/>
      <c r="E320" s="64"/>
      <c r="F320" s="64"/>
      <c r="G320" s="32"/>
      <c r="H320" s="64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2.75" customHeight="1" x14ac:dyDescent="0.2">
      <c r="A321" s="32"/>
      <c r="B321" s="32"/>
      <c r="C321" s="57"/>
      <c r="D321" s="32"/>
      <c r="E321" s="64"/>
      <c r="F321" s="64"/>
      <c r="G321" s="32"/>
      <c r="H321" s="64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2.75" customHeight="1" x14ac:dyDescent="0.2">
      <c r="A322" s="32"/>
      <c r="B322" s="32"/>
      <c r="C322" s="57"/>
      <c r="D322" s="32"/>
      <c r="E322" s="64"/>
      <c r="F322" s="64"/>
      <c r="G322" s="32"/>
      <c r="H322" s="64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2.75" customHeight="1" x14ac:dyDescent="0.2">
      <c r="A323" s="32"/>
      <c r="B323" s="32"/>
      <c r="C323" s="57"/>
      <c r="D323" s="32"/>
      <c r="E323" s="64"/>
      <c r="F323" s="64"/>
      <c r="G323" s="32"/>
      <c r="H323" s="64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2.75" customHeight="1" x14ac:dyDescent="0.2">
      <c r="A324" s="32"/>
      <c r="B324" s="32"/>
      <c r="C324" s="57"/>
      <c r="D324" s="32"/>
      <c r="E324" s="64"/>
      <c r="F324" s="64"/>
      <c r="G324" s="32"/>
      <c r="H324" s="64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2.75" customHeight="1" x14ac:dyDescent="0.2">
      <c r="A325" s="32"/>
      <c r="B325" s="32"/>
      <c r="C325" s="57"/>
      <c r="D325" s="32"/>
      <c r="E325" s="64"/>
      <c r="F325" s="64"/>
      <c r="G325" s="32"/>
      <c r="H325" s="64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2.75" customHeight="1" x14ac:dyDescent="0.2">
      <c r="A326" s="32"/>
      <c r="B326" s="32"/>
      <c r="C326" s="57"/>
      <c r="D326" s="32"/>
      <c r="E326" s="64"/>
      <c r="F326" s="64"/>
      <c r="G326" s="32"/>
      <c r="H326" s="64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2.75" customHeight="1" x14ac:dyDescent="0.2">
      <c r="A327" s="32"/>
      <c r="B327" s="32"/>
      <c r="C327" s="57"/>
      <c r="D327" s="32"/>
      <c r="E327" s="64"/>
      <c r="F327" s="64"/>
      <c r="G327" s="32"/>
      <c r="H327" s="64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2.75" customHeight="1" x14ac:dyDescent="0.2">
      <c r="A328" s="32"/>
      <c r="B328" s="32"/>
      <c r="C328" s="57"/>
      <c r="D328" s="32"/>
      <c r="E328" s="64"/>
      <c r="F328" s="64"/>
      <c r="G328" s="32"/>
      <c r="H328" s="64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2.75" customHeight="1" x14ac:dyDescent="0.2">
      <c r="A329" s="32"/>
      <c r="B329" s="32"/>
      <c r="C329" s="57"/>
      <c r="D329" s="32"/>
      <c r="E329" s="64"/>
      <c r="F329" s="64"/>
      <c r="G329" s="32"/>
      <c r="H329" s="64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2.75" customHeight="1" x14ac:dyDescent="0.2">
      <c r="A330" s="32"/>
      <c r="B330" s="32"/>
      <c r="C330" s="57"/>
      <c r="D330" s="32"/>
      <c r="E330" s="64"/>
      <c r="F330" s="64"/>
      <c r="G330" s="32"/>
      <c r="H330" s="64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2.75" customHeight="1" x14ac:dyDescent="0.2">
      <c r="A331" s="32"/>
      <c r="B331" s="32"/>
      <c r="C331" s="57"/>
      <c r="D331" s="32"/>
      <c r="E331" s="64"/>
      <c r="F331" s="64"/>
      <c r="G331" s="32"/>
      <c r="H331" s="64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2.75" customHeight="1" x14ac:dyDescent="0.2">
      <c r="A332" s="32"/>
      <c r="B332" s="32"/>
      <c r="C332" s="57"/>
      <c r="D332" s="32"/>
      <c r="E332" s="64"/>
      <c r="F332" s="64"/>
      <c r="G332" s="32"/>
      <c r="H332" s="64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2.75" customHeight="1" x14ac:dyDescent="0.2">
      <c r="A333" s="32"/>
      <c r="B333" s="32"/>
      <c r="C333" s="57"/>
      <c r="D333" s="32"/>
      <c r="E333" s="64"/>
      <c r="F333" s="64"/>
      <c r="G333" s="32"/>
      <c r="H333" s="64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2.75" customHeight="1" x14ac:dyDescent="0.2">
      <c r="A334" s="32"/>
      <c r="B334" s="32"/>
      <c r="C334" s="57"/>
      <c r="D334" s="32"/>
      <c r="E334" s="64"/>
      <c r="F334" s="64"/>
      <c r="G334" s="32"/>
      <c r="H334" s="64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2.75" customHeight="1" x14ac:dyDescent="0.2">
      <c r="A335" s="32"/>
      <c r="B335" s="32"/>
      <c r="C335" s="57"/>
      <c r="D335" s="32"/>
      <c r="E335" s="64"/>
      <c r="F335" s="64"/>
      <c r="G335" s="32"/>
      <c r="H335" s="64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2.75" customHeight="1" x14ac:dyDescent="0.2">
      <c r="A336" s="32"/>
      <c r="B336" s="32"/>
      <c r="C336" s="57"/>
      <c r="D336" s="32"/>
      <c r="E336" s="64"/>
      <c r="F336" s="64"/>
      <c r="G336" s="32"/>
      <c r="H336" s="64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2.75" customHeight="1" x14ac:dyDescent="0.2">
      <c r="A337" s="32"/>
      <c r="B337" s="32"/>
      <c r="C337" s="57"/>
      <c r="D337" s="32"/>
      <c r="E337" s="64"/>
      <c r="F337" s="64"/>
      <c r="G337" s="32"/>
      <c r="H337" s="64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2.75" customHeight="1" x14ac:dyDescent="0.2">
      <c r="A338" s="32"/>
      <c r="B338" s="32"/>
      <c r="C338" s="57"/>
      <c r="D338" s="32"/>
      <c r="E338" s="64"/>
      <c r="F338" s="64"/>
      <c r="G338" s="32"/>
      <c r="H338" s="64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2.75" customHeight="1" x14ac:dyDescent="0.2">
      <c r="A339" s="32"/>
      <c r="B339" s="32"/>
      <c r="C339" s="57"/>
      <c r="D339" s="32"/>
      <c r="E339" s="64"/>
      <c r="F339" s="64"/>
      <c r="G339" s="32"/>
      <c r="H339" s="64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2.75" customHeight="1" x14ac:dyDescent="0.2">
      <c r="A340" s="32"/>
      <c r="B340" s="32"/>
      <c r="C340" s="57"/>
      <c r="D340" s="32"/>
      <c r="E340" s="64"/>
      <c r="F340" s="64"/>
      <c r="G340" s="32"/>
      <c r="H340" s="64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2.75" customHeight="1" x14ac:dyDescent="0.2">
      <c r="A341" s="32"/>
      <c r="B341" s="32"/>
      <c r="C341" s="57"/>
      <c r="D341" s="32"/>
      <c r="E341" s="64"/>
      <c r="F341" s="64"/>
      <c r="G341" s="32"/>
      <c r="H341" s="64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2.75" customHeight="1" x14ac:dyDescent="0.2">
      <c r="A342" s="32"/>
      <c r="B342" s="32"/>
      <c r="C342" s="57"/>
      <c r="D342" s="32"/>
      <c r="E342" s="64"/>
      <c r="F342" s="64"/>
      <c r="G342" s="32"/>
      <c r="H342" s="64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2.75" customHeight="1" x14ac:dyDescent="0.2">
      <c r="A343" s="32"/>
      <c r="B343" s="32"/>
      <c r="C343" s="57"/>
      <c r="D343" s="32"/>
      <c r="E343" s="64"/>
      <c r="F343" s="64"/>
      <c r="G343" s="32"/>
      <c r="H343" s="64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2.75" customHeight="1" x14ac:dyDescent="0.2">
      <c r="A344" s="32"/>
      <c r="B344" s="32"/>
      <c r="C344" s="57"/>
      <c r="D344" s="32"/>
      <c r="E344" s="64"/>
      <c r="F344" s="64"/>
      <c r="G344" s="32"/>
      <c r="H344" s="64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2.75" customHeight="1" x14ac:dyDescent="0.2">
      <c r="A345" s="32"/>
      <c r="B345" s="32"/>
      <c r="C345" s="57"/>
      <c r="D345" s="32"/>
      <c r="E345" s="64"/>
      <c r="F345" s="64"/>
      <c r="G345" s="32"/>
      <c r="H345" s="64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2.75" customHeight="1" x14ac:dyDescent="0.2">
      <c r="A346" s="32"/>
      <c r="B346" s="32"/>
      <c r="C346" s="57"/>
      <c r="D346" s="32"/>
      <c r="E346" s="64"/>
      <c r="F346" s="64"/>
      <c r="G346" s="32"/>
      <c r="H346" s="64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2.75" customHeight="1" x14ac:dyDescent="0.2">
      <c r="A347" s="32"/>
      <c r="B347" s="32"/>
      <c r="C347" s="57"/>
      <c r="D347" s="32"/>
      <c r="E347" s="64"/>
      <c r="F347" s="64"/>
      <c r="G347" s="32"/>
      <c r="H347" s="64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2.75" customHeight="1" x14ac:dyDescent="0.2">
      <c r="A348" s="32"/>
      <c r="B348" s="32"/>
      <c r="C348" s="57"/>
      <c r="D348" s="32"/>
      <c r="E348" s="64"/>
      <c r="F348" s="64"/>
      <c r="G348" s="32"/>
      <c r="H348" s="64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2.75" customHeight="1" x14ac:dyDescent="0.2">
      <c r="A349" s="32"/>
      <c r="B349" s="32"/>
      <c r="C349" s="57"/>
      <c r="D349" s="32"/>
      <c r="E349" s="64"/>
      <c r="F349" s="64"/>
      <c r="G349" s="32"/>
      <c r="H349" s="64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2.75" customHeight="1" x14ac:dyDescent="0.2">
      <c r="A350" s="32"/>
      <c r="B350" s="32"/>
      <c r="C350" s="57"/>
      <c r="D350" s="32"/>
      <c r="E350" s="64"/>
      <c r="F350" s="64"/>
      <c r="G350" s="32"/>
      <c r="H350" s="64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2.75" customHeight="1" x14ac:dyDescent="0.2">
      <c r="A351" s="32"/>
      <c r="B351" s="32"/>
      <c r="C351" s="57"/>
      <c r="D351" s="32"/>
      <c r="E351" s="64"/>
      <c r="F351" s="64"/>
      <c r="G351" s="32"/>
      <c r="H351" s="64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2.75" customHeight="1" x14ac:dyDescent="0.2">
      <c r="A352" s="32"/>
      <c r="B352" s="32"/>
      <c r="C352" s="57"/>
      <c r="D352" s="32"/>
      <c r="E352" s="64"/>
      <c r="F352" s="64"/>
      <c r="G352" s="32"/>
      <c r="H352" s="64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2.75" customHeight="1" x14ac:dyDescent="0.2">
      <c r="A353" s="32"/>
      <c r="B353" s="32"/>
      <c r="C353" s="57"/>
      <c r="D353" s="32"/>
      <c r="E353" s="64"/>
      <c r="F353" s="64"/>
      <c r="G353" s="32"/>
      <c r="H353" s="64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2.75" customHeight="1" x14ac:dyDescent="0.2">
      <c r="A354" s="32"/>
      <c r="B354" s="32"/>
      <c r="C354" s="57"/>
      <c r="D354" s="32"/>
      <c r="E354" s="64"/>
      <c r="F354" s="64"/>
      <c r="G354" s="32"/>
      <c r="H354" s="64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2.75" customHeight="1" x14ac:dyDescent="0.2">
      <c r="A355" s="32"/>
      <c r="B355" s="32"/>
      <c r="C355" s="57"/>
      <c r="D355" s="32"/>
      <c r="E355" s="64"/>
      <c r="F355" s="64"/>
      <c r="G355" s="32"/>
      <c r="H355" s="64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2.75" customHeight="1" x14ac:dyDescent="0.2">
      <c r="A356" s="32"/>
      <c r="B356" s="32"/>
      <c r="C356" s="57"/>
      <c r="D356" s="32"/>
      <c r="E356" s="64"/>
      <c r="F356" s="64"/>
      <c r="G356" s="32"/>
      <c r="H356" s="64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2.75" customHeight="1" x14ac:dyDescent="0.2">
      <c r="A357" s="32"/>
      <c r="B357" s="32"/>
      <c r="C357" s="57"/>
      <c r="D357" s="32"/>
      <c r="E357" s="64"/>
      <c r="F357" s="64"/>
      <c r="G357" s="32"/>
      <c r="H357" s="64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2.75" customHeight="1" x14ac:dyDescent="0.2">
      <c r="A358" s="32"/>
      <c r="B358" s="32"/>
      <c r="C358" s="57"/>
      <c r="D358" s="32"/>
      <c r="E358" s="64"/>
      <c r="F358" s="64"/>
      <c r="G358" s="32"/>
      <c r="H358" s="64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2.75" customHeight="1" x14ac:dyDescent="0.2">
      <c r="A359" s="32"/>
      <c r="B359" s="32"/>
      <c r="C359" s="57"/>
      <c r="D359" s="32"/>
      <c r="E359" s="64"/>
      <c r="F359" s="64"/>
      <c r="G359" s="32"/>
      <c r="H359" s="64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2.75" customHeight="1" x14ac:dyDescent="0.2">
      <c r="A360" s="32"/>
      <c r="B360" s="32"/>
      <c r="C360" s="57"/>
      <c r="D360" s="32"/>
      <c r="E360" s="64"/>
      <c r="F360" s="64"/>
      <c r="G360" s="32"/>
      <c r="H360" s="64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2.75" customHeight="1" x14ac:dyDescent="0.2">
      <c r="A361" s="32"/>
      <c r="B361" s="32"/>
      <c r="C361" s="57"/>
      <c r="D361" s="32"/>
      <c r="E361" s="64"/>
      <c r="F361" s="64"/>
      <c r="G361" s="32"/>
      <c r="H361" s="64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2.75" customHeight="1" x14ac:dyDescent="0.2">
      <c r="A362" s="32"/>
      <c r="B362" s="32"/>
      <c r="C362" s="57"/>
      <c r="D362" s="32"/>
      <c r="E362" s="64"/>
      <c r="F362" s="64"/>
      <c r="G362" s="32"/>
      <c r="H362" s="64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2.75" customHeight="1" x14ac:dyDescent="0.2">
      <c r="A363" s="32"/>
      <c r="B363" s="32"/>
      <c r="C363" s="57"/>
      <c r="D363" s="32"/>
      <c r="E363" s="64"/>
      <c r="F363" s="64"/>
      <c r="G363" s="32"/>
      <c r="H363" s="64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2.75" customHeight="1" x14ac:dyDescent="0.2">
      <c r="A364" s="32"/>
      <c r="B364" s="32"/>
      <c r="C364" s="57"/>
      <c r="D364" s="32"/>
      <c r="E364" s="64"/>
      <c r="F364" s="64"/>
      <c r="G364" s="32"/>
      <c r="H364" s="64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2.75" customHeight="1" x14ac:dyDescent="0.2">
      <c r="A365" s="32"/>
      <c r="B365" s="32"/>
      <c r="C365" s="57"/>
      <c r="D365" s="32"/>
      <c r="E365" s="64"/>
      <c r="F365" s="64"/>
      <c r="G365" s="32"/>
      <c r="H365" s="64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2.75" customHeight="1" x14ac:dyDescent="0.2">
      <c r="A366" s="32"/>
      <c r="B366" s="32"/>
      <c r="C366" s="57"/>
      <c r="D366" s="32"/>
      <c r="E366" s="64"/>
      <c r="F366" s="64"/>
      <c r="G366" s="32"/>
      <c r="H366" s="64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2.75" customHeight="1" x14ac:dyDescent="0.2">
      <c r="A367" s="32"/>
      <c r="B367" s="32"/>
      <c r="C367" s="57"/>
      <c r="D367" s="32"/>
      <c r="E367" s="64"/>
      <c r="F367" s="64"/>
      <c r="G367" s="32"/>
      <c r="H367" s="64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2.75" customHeight="1" x14ac:dyDescent="0.2">
      <c r="A368" s="32"/>
      <c r="B368" s="32"/>
      <c r="C368" s="57"/>
      <c r="D368" s="32"/>
      <c r="E368" s="64"/>
      <c r="F368" s="64"/>
      <c r="G368" s="32"/>
      <c r="H368" s="64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2.75" customHeight="1" x14ac:dyDescent="0.2">
      <c r="A369" s="32"/>
      <c r="B369" s="32"/>
      <c r="C369" s="57"/>
      <c r="D369" s="32"/>
      <c r="E369" s="64"/>
      <c r="F369" s="64"/>
      <c r="G369" s="32"/>
      <c r="H369" s="64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2.75" customHeight="1" x14ac:dyDescent="0.2">
      <c r="A370" s="32"/>
      <c r="B370" s="32"/>
      <c r="C370" s="57"/>
      <c r="D370" s="32"/>
      <c r="E370" s="64"/>
      <c r="F370" s="64"/>
      <c r="G370" s="32"/>
      <c r="H370" s="64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2.75" customHeight="1" x14ac:dyDescent="0.2">
      <c r="A371" s="32"/>
      <c r="B371" s="32"/>
      <c r="C371" s="57"/>
      <c r="D371" s="32"/>
      <c r="E371" s="64"/>
      <c r="F371" s="64"/>
      <c r="G371" s="32"/>
      <c r="H371" s="64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2.75" customHeight="1" x14ac:dyDescent="0.2">
      <c r="A372" s="32"/>
      <c r="B372" s="32"/>
      <c r="C372" s="57"/>
      <c r="D372" s="32"/>
      <c r="E372" s="64"/>
      <c r="F372" s="64"/>
      <c r="G372" s="32"/>
      <c r="H372" s="64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2.75" customHeight="1" x14ac:dyDescent="0.2">
      <c r="A373" s="32"/>
      <c r="B373" s="32"/>
      <c r="C373" s="57"/>
      <c r="D373" s="32"/>
      <c r="E373" s="64"/>
      <c r="F373" s="64"/>
      <c r="G373" s="32"/>
      <c r="H373" s="64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2.75" customHeight="1" x14ac:dyDescent="0.2">
      <c r="A374" s="32"/>
      <c r="B374" s="32"/>
      <c r="C374" s="57"/>
      <c r="D374" s="32"/>
      <c r="E374" s="64"/>
      <c r="F374" s="64"/>
      <c r="G374" s="32"/>
      <c r="H374" s="64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2.75" customHeight="1" x14ac:dyDescent="0.2">
      <c r="A375" s="32"/>
      <c r="B375" s="32"/>
      <c r="C375" s="57"/>
      <c r="D375" s="32"/>
      <c r="E375" s="64"/>
      <c r="F375" s="64"/>
      <c r="G375" s="32"/>
      <c r="H375" s="64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2.75" customHeight="1" x14ac:dyDescent="0.2">
      <c r="A376" s="32"/>
      <c r="B376" s="32"/>
      <c r="C376" s="57"/>
      <c r="D376" s="32"/>
      <c r="E376" s="64"/>
      <c r="F376" s="64"/>
      <c r="G376" s="32"/>
      <c r="H376" s="64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2.75" customHeight="1" x14ac:dyDescent="0.2">
      <c r="A377" s="32"/>
      <c r="B377" s="32"/>
      <c r="C377" s="57"/>
      <c r="D377" s="32"/>
      <c r="E377" s="64"/>
      <c r="F377" s="64"/>
      <c r="G377" s="32"/>
      <c r="H377" s="64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2.75" customHeight="1" x14ac:dyDescent="0.2">
      <c r="A378" s="32"/>
      <c r="B378" s="32"/>
      <c r="C378" s="57"/>
      <c r="D378" s="32"/>
      <c r="E378" s="64"/>
      <c r="F378" s="64"/>
      <c r="G378" s="32"/>
      <c r="H378" s="64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2.75" customHeight="1" x14ac:dyDescent="0.2">
      <c r="A379" s="32"/>
      <c r="B379" s="32"/>
      <c r="C379" s="57"/>
      <c r="D379" s="32"/>
      <c r="E379" s="64"/>
      <c r="F379" s="64"/>
      <c r="G379" s="32"/>
      <c r="H379" s="64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2.75" customHeight="1" x14ac:dyDescent="0.2">
      <c r="A380" s="32"/>
      <c r="B380" s="32"/>
      <c r="C380" s="57"/>
      <c r="D380" s="32"/>
      <c r="E380" s="64"/>
      <c r="F380" s="64"/>
      <c r="G380" s="32"/>
      <c r="H380" s="64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2.75" customHeight="1" x14ac:dyDescent="0.2">
      <c r="A381" s="32"/>
      <c r="B381" s="32"/>
      <c r="C381" s="57"/>
      <c r="D381" s="32"/>
      <c r="E381" s="64"/>
      <c r="F381" s="64"/>
      <c r="G381" s="32"/>
      <c r="H381" s="64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2.75" customHeight="1" x14ac:dyDescent="0.2">
      <c r="A382" s="32"/>
      <c r="B382" s="32"/>
      <c r="C382" s="57"/>
      <c r="D382" s="32"/>
      <c r="E382" s="64"/>
      <c r="F382" s="64"/>
      <c r="G382" s="32"/>
      <c r="H382" s="64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2.75" customHeight="1" x14ac:dyDescent="0.2">
      <c r="A383" s="32"/>
      <c r="B383" s="32"/>
      <c r="C383" s="57"/>
      <c r="D383" s="32"/>
      <c r="E383" s="64"/>
      <c r="F383" s="64"/>
      <c r="G383" s="32"/>
      <c r="H383" s="64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2.75" customHeight="1" x14ac:dyDescent="0.2">
      <c r="A384" s="32"/>
      <c r="B384" s="32"/>
      <c r="C384" s="57"/>
      <c r="D384" s="32"/>
      <c r="E384" s="64"/>
      <c r="F384" s="64"/>
      <c r="G384" s="32"/>
      <c r="H384" s="64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2.75" customHeight="1" x14ac:dyDescent="0.2">
      <c r="A385" s="32"/>
      <c r="B385" s="32"/>
      <c r="C385" s="57"/>
      <c r="D385" s="32"/>
      <c r="E385" s="64"/>
      <c r="F385" s="64"/>
      <c r="G385" s="32"/>
      <c r="H385" s="64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2.75" customHeight="1" x14ac:dyDescent="0.2">
      <c r="A386" s="32"/>
      <c r="B386" s="32"/>
      <c r="C386" s="57"/>
      <c r="D386" s="32"/>
      <c r="E386" s="64"/>
      <c r="F386" s="64"/>
      <c r="G386" s="32"/>
      <c r="H386" s="64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2.75" customHeight="1" x14ac:dyDescent="0.2">
      <c r="A387" s="32"/>
      <c r="B387" s="32"/>
      <c r="C387" s="57"/>
      <c r="D387" s="32"/>
      <c r="E387" s="64"/>
      <c r="F387" s="64"/>
      <c r="G387" s="32"/>
      <c r="H387" s="64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2.75" customHeight="1" x14ac:dyDescent="0.2">
      <c r="A388" s="32"/>
      <c r="B388" s="32"/>
      <c r="C388" s="57"/>
      <c r="D388" s="32"/>
      <c r="E388" s="64"/>
      <c r="F388" s="64"/>
      <c r="G388" s="32"/>
      <c r="H388" s="64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2.75" customHeight="1" x14ac:dyDescent="0.2">
      <c r="A389" s="32"/>
      <c r="B389" s="32"/>
      <c r="C389" s="57"/>
      <c r="D389" s="32"/>
      <c r="E389" s="64"/>
      <c r="F389" s="64"/>
      <c r="G389" s="32"/>
      <c r="H389" s="64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2.75" customHeight="1" x14ac:dyDescent="0.2">
      <c r="A390" s="32"/>
      <c r="B390" s="32"/>
      <c r="C390" s="57"/>
      <c r="D390" s="32"/>
      <c r="E390" s="64"/>
      <c r="F390" s="64"/>
      <c r="G390" s="32"/>
      <c r="H390" s="64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2.75" customHeight="1" x14ac:dyDescent="0.2">
      <c r="A391" s="32"/>
      <c r="B391" s="32"/>
      <c r="C391" s="57"/>
      <c r="D391" s="32"/>
      <c r="E391" s="64"/>
      <c r="F391" s="64"/>
      <c r="G391" s="32"/>
      <c r="H391" s="64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2.75" customHeight="1" x14ac:dyDescent="0.2">
      <c r="A392" s="32"/>
      <c r="B392" s="32"/>
      <c r="C392" s="57"/>
      <c r="D392" s="32"/>
      <c r="E392" s="64"/>
      <c r="F392" s="64"/>
      <c r="G392" s="32"/>
      <c r="H392" s="64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2.75" customHeight="1" x14ac:dyDescent="0.2">
      <c r="A393" s="32"/>
      <c r="B393" s="32"/>
      <c r="C393" s="57"/>
      <c r="D393" s="32"/>
      <c r="E393" s="64"/>
      <c r="F393" s="64"/>
      <c r="G393" s="32"/>
      <c r="H393" s="64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2.75" customHeight="1" x14ac:dyDescent="0.2">
      <c r="A394" s="32"/>
      <c r="B394" s="32"/>
      <c r="C394" s="57"/>
      <c r="D394" s="32"/>
      <c r="E394" s="64"/>
      <c r="F394" s="64"/>
      <c r="G394" s="32"/>
      <c r="H394" s="64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2.75" customHeight="1" x14ac:dyDescent="0.2">
      <c r="A395" s="32"/>
      <c r="B395" s="32"/>
      <c r="C395" s="57"/>
      <c r="D395" s="32"/>
      <c r="E395" s="64"/>
      <c r="F395" s="64"/>
      <c r="G395" s="32"/>
      <c r="H395" s="64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2.75" customHeight="1" x14ac:dyDescent="0.2">
      <c r="A396" s="32"/>
      <c r="B396" s="32"/>
      <c r="C396" s="57"/>
      <c r="D396" s="32"/>
      <c r="E396" s="64"/>
      <c r="F396" s="64"/>
      <c r="G396" s="32"/>
      <c r="H396" s="64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2.75" customHeight="1" x14ac:dyDescent="0.2">
      <c r="A397" s="32"/>
      <c r="B397" s="32"/>
      <c r="C397" s="57"/>
      <c r="D397" s="32"/>
      <c r="E397" s="64"/>
      <c r="F397" s="64"/>
      <c r="G397" s="32"/>
      <c r="H397" s="64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2.75" customHeight="1" x14ac:dyDescent="0.2">
      <c r="A398" s="32"/>
      <c r="B398" s="32"/>
      <c r="C398" s="57"/>
      <c r="D398" s="32"/>
      <c r="E398" s="64"/>
      <c r="F398" s="64"/>
      <c r="G398" s="32"/>
      <c r="H398" s="64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2.75" customHeight="1" x14ac:dyDescent="0.2">
      <c r="A399" s="32"/>
      <c r="B399" s="32"/>
      <c r="C399" s="57"/>
      <c r="D399" s="32"/>
      <c r="E399" s="64"/>
      <c r="F399" s="64"/>
      <c r="G399" s="32"/>
      <c r="H399" s="64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2.75" customHeight="1" x14ac:dyDescent="0.2">
      <c r="A400" s="32"/>
      <c r="B400" s="32"/>
      <c r="C400" s="57"/>
      <c r="D400" s="32"/>
      <c r="E400" s="64"/>
      <c r="F400" s="64"/>
      <c r="G400" s="32"/>
      <c r="H400" s="64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2.75" customHeight="1" x14ac:dyDescent="0.2">
      <c r="A401" s="32"/>
      <c r="B401" s="32"/>
      <c r="C401" s="57"/>
      <c r="D401" s="32"/>
      <c r="E401" s="64"/>
      <c r="F401" s="64"/>
      <c r="G401" s="32"/>
      <c r="H401" s="64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2.75" customHeight="1" x14ac:dyDescent="0.2">
      <c r="A402" s="32"/>
      <c r="B402" s="32"/>
      <c r="C402" s="57"/>
      <c r="D402" s="32"/>
      <c r="E402" s="64"/>
      <c r="F402" s="64"/>
      <c r="G402" s="32"/>
      <c r="H402" s="64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2.75" customHeight="1" x14ac:dyDescent="0.2">
      <c r="A403" s="32"/>
      <c r="B403" s="32"/>
      <c r="C403" s="57"/>
      <c r="D403" s="32"/>
      <c r="E403" s="64"/>
      <c r="F403" s="64"/>
      <c r="G403" s="32"/>
      <c r="H403" s="64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2.75" customHeight="1" x14ac:dyDescent="0.2">
      <c r="A404" s="32"/>
      <c r="B404" s="32"/>
      <c r="C404" s="57"/>
      <c r="D404" s="32"/>
      <c r="E404" s="64"/>
      <c r="F404" s="64"/>
      <c r="G404" s="32"/>
      <c r="H404" s="64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2.75" customHeight="1" x14ac:dyDescent="0.2">
      <c r="A405" s="32"/>
      <c r="B405" s="32"/>
      <c r="C405" s="57"/>
      <c r="D405" s="32"/>
      <c r="E405" s="64"/>
      <c r="F405" s="64"/>
      <c r="G405" s="32"/>
      <c r="H405" s="64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2.75" customHeight="1" x14ac:dyDescent="0.2">
      <c r="A406" s="32"/>
      <c r="B406" s="32"/>
      <c r="C406" s="57"/>
      <c r="D406" s="32"/>
      <c r="E406" s="64"/>
      <c r="F406" s="64"/>
      <c r="G406" s="32"/>
      <c r="H406" s="64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2.75" customHeight="1" x14ac:dyDescent="0.2">
      <c r="A407" s="32"/>
      <c r="B407" s="32"/>
      <c r="C407" s="57"/>
      <c r="D407" s="32"/>
      <c r="E407" s="64"/>
      <c r="F407" s="64"/>
      <c r="G407" s="32"/>
      <c r="H407" s="64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2.75" customHeight="1" x14ac:dyDescent="0.2">
      <c r="A408" s="32"/>
      <c r="B408" s="32"/>
      <c r="C408" s="57"/>
      <c r="D408" s="32"/>
      <c r="E408" s="64"/>
      <c r="F408" s="64"/>
      <c r="G408" s="32"/>
      <c r="H408" s="64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2.75" customHeight="1" x14ac:dyDescent="0.2">
      <c r="A409" s="32"/>
      <c r="B409" s="32"/>
      <c r="C409" s="57"/>
      <c r="D409" s="32"/>
      <c r="E409" s="64"/>
      <c r="F409" s="64"/>
      <c r="G409" s="32"/>
      <c r="H409" s="64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2.75" customHeight="1" x14ac:dyDescent="0.2">
      <c r="A410" s="32"/>
      <c r="B410" s="32"/>
      <c r="C410" s="57"/>
      <c r="D410" s="32"/>
      <c r="E410" s="64"/>
      <c r="F410" s="64"/>
      <c r="G410" s="32"/>
      <c r="H410" s="64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2.75" customHeight="1" x14ac:dyDescent="0.2">
      <c r="A411" s="32"/>
      <c r="B411" s="32"/>
      <c r="C411" s="57"/>
      <c r="D411" s="32"/>
      <c r="E411" s="64"/>
      <c r="F411" s="64"/>
      <c r="G411" s="32"/>
      <c r="H411" s="64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2.75" customHeight="1" x14ac:dyDescent="0.2">
      <c r="A412" s="32"/>
      <c r="B412" s="32"/>
      <c r="C412" s="57"/>
      <c r="D412" s="32"/>
      <c r="E412" s="64"/>
      <c r="F412" s="64"/>
      <c r="G412" s="32"/>
      <c r="H412" s="64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2.75" customHeight="1" x14ac:dyDescent="0.2">
      <c r="A413" s="32"/>
      <c r="B413" s="32"/>
      <c r="C413" s="57"/>
      <c r="D413" s="32"/>
      <c r="E413" s="64"/>
      <c r="F413" s="64"/>
      <c r="G413" s="32"/>
      <c r="H413" s="64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2.75" customHeight="1" x14ac:dyDescent="0.2">
      <c r="A414" s="32"/>
      <c r="B414" s="32"/>
      <c r="C414" s="57"/>
      <c r="D414" s="32"/>
      <c r="E414" s="64"/>
      <c r="F414" s="64"/>
      <c r="G414" s="32"/>
      <c r="H414" s="64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2.75" customHeight="1" x14ac:dyDescent="0.2">
      <c r="A415" s="32"/>
      <c r="B415" s="32"/>
      <c r="C415" s="57"/>
      <c r="D415" s="32"/>
      <c r="E415" s="64"/>
      <c r="F415" s="64"/>
      <c r="G415" s="32"/>
      <c r="H415" s="64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2.75" customHeight="1" x14ac:dyDescent="0.2">
      <c r="A416" s="32"/>
      <c r="B416" s="32"/>
      <c r="C416" s="57"/>
      <c r="D416" s="32"/>
      <c r="E416" s="64"/>
      <c r="F416" s="64"/>
      <c r="G416" s="32"/>
      <c r="H416" s="64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2.75" customHeight="1" x14ac:dyDescent="0.2">
      <c r="A417" s="32"/>
      <c r="B417" s="32"/>
      <c r="C417" s="57"/>
      <c r="D417" s="32"/>
      <c r="E417" s="64"/>
      <c r="F417" s="64"/>
      <c r="G417" s="32"/>
      <c r="H417" s="64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2.75" customHeight="1" x14ac:dyDescent="0.2">
      <c r="A418" s="32"/>
      <c r="B418" s="32"/>
      <c r="C418" s="57"/>
      <c r="D418" s="32"/>
      <c r="E418" s="64"/>
      <c r="F418" s="64"/>
      <c r="G418" s="32"/>
      <c r="H418" s="64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2.75" customHeight="1" x14ac:dyDescent="0.2">
      <c r="A419" s="32"/>
      <c r="B419" s="32"/>
      <c r="C419" s="57"/>
      <c r="D419" s="32"/>
      <c r="E419" s="64"/>
      <c r="F419" s="64"/>
      <c r="G419" s="32"/>
      <c r="H419" s="64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2.75" customHeight="1" x14ac:dyDescent="0.2">
      <c r="A420" s="32"/>
      <c r="B420" s="32"/>
      <c r="C420" s="57"/>
      <c r="D420" s="32"/>
      <c r="E420" s="64"/>
      <c r="F420" s="64"/>
      <c r="G420" s="32"/>
      <c r="H420" s="64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2.75" customHeight="1" x14ac:dyDescent="0.2">
      <c r="A421" s="32"/>
      <c r="B421" s="32"/>
      <c r="C421" s="57"/>
      <c r="D421" s="32"/>
      <c r="E421" s="64"/>
      <c r="F421" s="64"/>
      <c r="G421" s="32"/>
      <c r="H421" s="64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2.75" customHeight="1" x14ac:dyDescent="0.2">
      <c r="A422" s="32"/>
      <c r="B422" s="32"/>
      <c r="C422" s="57"/>
      <c r="D422" s="32"/>
      <c r="E422" s="64"/>
      <c r="F422" s="64"/>
      <c r="G422" s="32"/>
      <c r="H422" s="64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2.75" customHeight="1" x14ac:dyDescent="0.2">
      <c r="A423" s="32"/>
      <c r="B423" s="32"/>
      <c r="C423" s="57"/>
      <c r="D423" s="32"/>
      <c r="E423" s="64"/>
      <c r="F423" s="64"/>
      <c r="G423" s="32"/>
      <c r="H423" s="64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2.75" customHeight="1" x14ac:dyDescent="0.2">
      <c r="A424" s="32"/>
      <c r="B424" s="32"/>
      <c r="C424" s="57"/>
      <c r="D424" s="32"/>
      <c r="E424" s="64"/>
      <c r="F424" s="64"/>
      <c r="G424" s="32"/>
      <c r="H424" s="64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2.75" customHeight="1" x14ac:dyDescent="0.2">
      <c r="A425" s="32"/>
      <c r="B425" s="32"/>
      <c r="C425" s="57"/>
      <c r="D425" s="32"/>
      <c r="E425" s="64"/>
      <c r="F425" s="64"/>
      <c r="G425" s="32"/>
      <c r="H425" s="64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2.75" customHeight="1" x14ac:dyDescent="0.2">
      <c r="A426" s="32"/>
      <c r="B426" s="32"/>
      <c r="C426" s="57"/>
      <c r="D426" s="32"/>
      <c r="E426" s="64"/>
      <c r="F426" s="64"/>
      <c r="G426" s="32"/>
      <c r="H426" s="64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2.75" customHeight="1" x14ac:dyDescent="0.2">
      <c r="A427" s="32"/>
      <c r="B427" s="32"/>
      <c r="C427" s="57"/>
      <c r="D427" s="32"/>
      <c r="E427" s="64"/>
      <c r="F427" s="64"/>
      <c r="G427" s="32"/>
      <c r="H427" s="64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2.75" customHeight="1" x14ac:dyDescent="0.2">
      <c r="A428" s="32"/>
      <c r="B428" s="32"/>
      <c r="C428" s="57"/>
      <c r="D428" s="32"/>
      <c r="E428" s="64"/>
      <c r="F428" s="64"/>
      <c r="G428" s="32"/>
      <c r="H428" s="64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2.75" customHeight="1" x14ac:dyDescent="0.2">
      <c r="A429" s="32"/>
      <c r="B429" s="32"/>
      <c r="C429" s="57"/>
      <c r="D429" s="32"/>
      <c r="E429" s="64"/>
      <c r="F429" s="64"/>
      <c r="G429" s="32"/>
      <c r="H429" s="64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2.75" customHeight="1" x14ac:dyDescent="0.2">
      <c r="A430" s="32"/>
      <c r="B430" s="32"/>
      <c r="C430" s="57"/>
      <c r="D430" s="32"/>
      <c r="E430" s="64"/>
      <c r="F430" s="64"/>
      <c r="G430" s="32"/>
      <c r="H430" s="64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2.75" customHeight="1" x14ac:dyDescent="0.2">
      <c r="A431" s="32"/>
      <c r="B431" s="32"/>
      <c r="C431" s="57"/>
      <c r="D431" s="32"/>
      <c r="E431" s="64"/>
      <c r="F431" s="64"/>
      <c r="G431" s="32"/>
      <c r="H431" s="64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2.75" customHeight="1" x14ac:dyDescent="0.2">
      <c r="A432" s="32"/>
      <c r="B432" s="32"/>
      <c r="C432" s="57"/>
      <c r="D432" s="32"/>
      <c r="E432" s="64"/>
      <c r="F432" s="64"/>
      <c r="G432" s="32"/>
      <c r="H432" s="64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2.75" customHeight="1" x14ac:dyDescent="0.2">
      <c r="A433" s="32"/>
      <c r="B433" s="32"/>
      <c r="C433" s="57"/>
      <c r="D433" s="32"/>
      <c r="E433" s="64"/>
      <c r="F433" s="64"/>
      <c r="G433" s="32"/>
      <c r="H433" s="64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2.75" customHeight="1" x14ac:dyDescent="0.2">
      <c r="A434" s="32"/>
      <c r="B434" s="32"/>
      <c r="C434" s="57"/>
      <c r="D434" s="32"/>
      <c r="E434" s="64"/>
      <c r="F434" s="64"/>
      <c r="G434" s="32"/>
      <c r="H434" s="64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2.75" customHeight="1" x14ac:dyDescent="0.2">
      <c r="A435" s="32"/>
      <c r="B435" s="32"/>
      <c r="C435" s="57"/>
      <c r="D435" s="32"/>
      <c r="E435" s="64"/>
      <c r="F435" s="64"/>
      <c r="G435" s="32"/>
      <c r="H435" s="64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2.75" customHeight="1" x14ac:dyDescent="0.2">
      <c r="A436" s="32"/>
      <c r="B436" s="32"/>
      <c r="C436" s="57"/>
      <c r="D436" s="32"/>
      <c r="E436" s="64"/>
      <c r="F436" s="64"/>
      <c r="G436" s="32"/>
      <c r="H436" s="64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2.75" customHeight="1" x14ac:dyDescent="0.2">
      <c r="A437" s="32"/>
      <c r="B437" s="32"/>
      <c r="C437" s="57"/>
      <c r="D437" s="32"/>
      <c r="E437" s="64"/>
      <c r="F437" s="64"/>
      <c r="G437" s="32"/>
      <c r="H437" s="64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2.75" customHeight="1" x14ac:dyDescent="0.2">
      <c r="A438" s="32"/>
      <c r="B438" s="32"/>
      <c r="C438" s="57"/>
      <c r="D438" s="32"/>
      <c r="E438" s="64"/>
      <c r="F438" s="64"/>
      <c r="G438" s="32"/>
      <c r="H438" s="64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2.75" customHeight="1" x14ac:dyDescent="0.2">
      <c r="A439" s="32"/>
      <c r="B439" s="32"/>
      <c r="C439" s="57"/>
      <c r="D439" s="32"/>
      <c r="E439" s="64"/>
      <c r="F439" s="64"/>
      <c r="G439" s="32"/>
      <c r="H439" s="64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2.75" customHeight="1" x14ac:dyDescent="0.2">
      <c r="A440" s="32"/>
      <c r="B440" s="32"/>
      <c r="C440" s="57"/>
      <c r="D440" s="32"/>
      <c r="E440" s="64"/>
      <c r="F440" s="64"/>
      <c r="G440" s="32"/>
      <c r="H440" s="64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2.75" customHeight="1" x14ac:dyDescent="0.2">
      <c r="A441" s="32"/>
      <c r="B441" s="32"/>
      <c r="C441" s="57"/>
      <c r="D441" s="32"/>
      <c r="E441" s="64"/>
      <c r="F441" s="64"/>
      <c r="G441" s="32"/>
      <c r="H441" s="64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2.75" customHeight="1" x14ac:dyDescent="0.2">
      <c r="A442" s="32"/>
      <c r="B442" s="32"/>
      <c r="C442" s="57"/>
      <c r="D442" s="32"/>
      <c r="E442" s="64"/>
      <c r="F442" s="64"/>
      <c r="G442" s="32"/>
      <c r="H442" s="64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2.75" customHeight="1" x14ac:dyDescent="0.2">
      <c r="A443" s="32"/>
      <c r="B443" s="32"/>
      <c r="C443" s="57"/>
      <c r="D443" s="32"/>
      <c r="E443" s="64"/>
      <c r="F443" s="64"/>
      <c r="G443" s="32"/>
      <c r="H443" s="64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2.75" customHeight="1" x14ac:dyDescent="0.2">
      <c r="A444" s="32"/>
      <c r="B444" s="32"/>
      <c r="C444" s="57"/>
      <c r="D444" s="32"/>
      <c r="E444" s="64"/>
      <c r="F444" s="64"/>
      <c r="G444" s="32"/>
      <c r="H444" s="64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2.75" customHeight="1" x14ac:dyDescent="0.2">
      <c r="A445" s="32"/>
      <c r="B445" s="32"/>
      <c r="C445" s="57"/>
      <c r="D445" s="32"/>
      <c r="E445" s="64"/>
      <c r="F445" s="64"/>
      <c r="G445" s="32"/>
      <c r="H445" s="64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2.75" customHeight="1" x14ac:dyDescent="0.2">
      <c r="A446" s="32"/>
      <c r="B446" s="32"/>
      <c r="C446" s="57"/>
      <c r="D446" s="32"/>
      <c r="E446" s="64"/>
      <c r="F446" s="64"/>
      <c r="G446" s="32"/>
      <c r="H446" s="64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2.75" customHeight="1" x14ac:dyDescent="0.2">
      <c r="A447" s="32"/>
      <c r="B447" s="32"/>
      <c r="C447" s="57"/>
      <c r="D447" s="32"/>
      <c r="E447" s="64"/>
      <c r="F447" s="64"/>
      <c r="G447" s="32"/>
      <c r="H447" s="64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2.75" customHeight="1" x14ac:dyDescent="0.2">
      <c r="A448" s="32"/>
      <c r="B448" s="32"/>
      <c r="C448" s="57"/>
      <c r="D448" s="32"/>
      <c r="E448" s="64"/>
      <c r="F448" s="64"/>
      <c r="G448" s="32"/>
      <c r="H448" s="64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2.75" customHeight="1" x14ac:dyDescent="0.2">
      <c r="A449" s="32"/>
      <c r="B449" s="32"/>
      <c r="C449" s="57"/>
      <c r="D449" s="32"/>
      <c r="E449" s="64"/>
      <c r="F449" s="64"/>
      <c r="G449" s="32"/>
      <c r="H449" s="64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2.75" customHeight="1" x14ac:dyDescent="0.2">
      <c r="A450" s="32"/>
      <c r="B450" s="32"/>
      <c r="C450" s="57"/>
      <c r="D450" s="32"/>
      <c r="E450" s="64"/>
      <c r="F450" s="64"/>
      <c r="G450" s="32"/>
      <c r="H450" s="64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2.75" customHeight="1" x14ac:dyDescent="0.2">
      <c r="A451" s="32"/>
      <c r="B451" s="32"/>
      <c r="C451" s="57"/>
      <c r="D451" s="32"/>
      <c r="E451" s="64"/>
      <c r="F451" s="64"/>
      <c r="G451" s="32"/>
      <c r="H451" s="64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2.75" customHeight="1" x14ac:dyDescent="0.2">
      <c r="A452" s="32"/>
      <c r="B452" s="32"/>
      <c r="C452" s="57"/>
      <c r="D452" s="32"/>
      <c r="E452" s="64"/>
      <c r="F452" s="64"/>
      <c r="G452" s="32"/>
      <c r="H452" s="64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2.75" customHeight="1" x14ac:dyDescent="0.2">
      <c r="A453" s="32"/>
      <c r="B453" s="32"/>
      <c r="C453" s="57"/>
      <c r="D453" s="32"/>
      <c r="E453" s="64"/>
      <c r="F453" s="64"/>
      <c r="G453" s="32"/>
      <c r="H453" s="64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2.75" customHeight="1" x14ac:dyDescent="0.2">
      <c r="A454" s="32"/>
      <c r="B454" s="32"/>
      <c r="C454" s="57"/>
      <c r="D454" s="32"/>
      <c r="E454" s="64"/>
      <c r="F454" s="64"/>
      <c r="G454" s="32"/>
      <c r="H454" s="64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2.75" customHeight="1" x14ac:dyDescent="0.2">
      <c r="A455" s="32"/>
      <c r="B455" s="32"/>
      <c r="C455" s="57"/>
      <c r="D455" s="32"/>
      <c r="E455" s="64"/>
      <c r="F455" s="64"/>
      <c r="G455" s="32"/>
      <c r="H455" s="64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2.75" customHeight="1" x14ac:dyDescent="0.2">
      <c r="A456" s="32"/>
      <c r="B456" s="32"/>
      <c r="C456" s="57"/>
      <c r="D456" s="32"/>
      <c r="E456" s="64"/>
      <c r="F456" s="64"/>
      <c r="G456" s="32"/>
      <c r="H456" s="64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2.75" customHeight="1" x14ac:dyDescent="0.2">
      <c r="A457" s="32"/>
      <c r="B457" s="32"/>
      <c r="C457" s="57"/>
      <c r="D457" s="32"/>
      <c r="E457" s="64"/>
      <c r="F457" s="64"/>
      <c r="G457" s="32"/>
      <c r="H457" s="64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2.75" customHeight="1" x14ac:dyDescent="0.2">
      <c r="A458" s="32"/>
      <c r="B458" s="32"/>
      <c r="C458" s="57"/>
      <c r="D458" s="32"/>
      <c r="E458" s="64"/>
      <c r="F458" s="64"/>
      <c r="G458" s="32"/>
      <c r="H458" s="64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2.75" customHeight="1" x14ac:dyDescent="0.2">
      <c r="A459" s="32"/>
      <c r="B459" s="32"/>
      <c r="C459" s="57"/>
      <c r="D459" s="32"/>
      <c r="E459" s="64"/>
      <c r="F459" s="64"/>
      <c r="G459" s="32"/>
      <c r="H459" s="64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2.75" customHeight="1" x14ac:dyDescent="0.2">
      <c r="A460" s="32"/>
      <c r="B460" s="32"/>
      <c r="C460" s="57"/>
      <c r="D460" s="32"/>
      <c r="E460" s="64"/>
      <c r="F460" s="64"/>
      <c r="G460" s="32"/>
      <c r="H460" s="64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2.75" customHeight="1" x14ac:dyDescent="0.2">
      <c r="A461" s="32"/>
      <c r="B461" s="32"/>
      <c r="C461" s="57"/>
      <c r="D461" s="32"/>
      <c r="E461" s="64"/>
      <c r="F461" s="64"/>
      <c r="G461" s="32"/>
      <c r="H461" s="64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2.75" customHeight="1" x14ac:dyDescent="0.2">
      <c r="A462" s="32"/>
      <c r="B462" s="32"/>
      <c r="C462" s="57"/>
      <c r="D462" s="32"/>
      <c r="E462" s="64"/>
      <c r="F462" s="64"/>
      <c r="G462" s="32"/>
      <c r="H462" s="64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2.75" customHeight="1" x14ac:dyDescent="0.2">
      <c r="A463" s="32"/>
      <c r="B463" s="32"/>
      <c r="C463" s="57"/>
      <c r="D463" s="32"/>
      <c r="E463" s="64"/>
      <c r="F463" s="64"/>
      <c r="G463" s="32"/>
      <c r="H463" s="64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2.75" customHeight="1" x14ac:dyDescent="0.2">
      <c r="A464" s="32"/>
      <c r="B464" s="32"/>
      <c r="C464" s="57"/>
      <c r="D464" s="32"/>
      <c r="E464" s="64"/>
      <c r="F464" s="64"/>
      <c r="G464" s="32"/>
      <c r="H464" s="64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2.75" customHeight="1" x14ac:dyDescent="0.2">
      <c r="A465" s="32"/>
      <c r="B465" s="32"/>
      <c r="C465" s="57"/>
      <c r="D465" s="32"/>
      <c r="E465" s="64"/>
      <c r="F465" s="64"/>
      <c r="G465" s="32"/>
      <c r="H465" s="64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2.75" customHeight="1" x14ac:dyDescent="0.2">
      <c r="A466" s="32"/>
      <c r="B466" s="32"/>
      <c r="C466" s="57"/>
      <c r="D466" s="32"/>
      <c r="E466" s="64"/>
      <c r="F466" s="64"/>
      <c r="G466" s="32"/>
      <c r="H466" s="64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2.75" customHeight="1" x14ac:dyDescent="0.2">
      <c r="A467" s="32"/>
      <c r="B467" s="32"/>
      <c r="C467" s="57"/>
      <c r="D467" s="32"/>
      <c r="E467" s="64"/>
      <c r="F467" s="64"/>
      <c r="G467" s="32"/>
      <c r="H467" s="64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2.75" customHeight="1" x14ac:dyDescent="0.2">
      <c r="A468" s="32"/>
      <c r="B468" s="32"/>
      <c r="C468" s="57"/>
      <c r="D468" s="32"/>
      <c r="E468" s="64"/>
      <c r="F468" s="64"/>
      <c r="G468" s="32"/>
      <c r="H468" s="64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2.75" customHeight="1" x14ac:dyDescent="0.2">
      <c r="A469" s="32"/>
      <c r="B469" s="32"/>
      <c r="C469" s="57"/>
      <c r="D469" s="32"/>
      <c r="E469" s="64"/>
      <c r="F469" s="64"/>
      <c r="G469" s="32"/>
      <c r="H469" s="64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2.75" customHeight="1" x14ac:dyDescent="0.2">
      <c r="A470" s="32"/>
      <c r="B470" s="32"/>
      <c r="C470" s="57"/>
      <c r="D470" s="32"/>
      <c r="E470" s="64"/>
      <c r="F470" s="64"/>
      <c r="G470" s="32"/>
      <c r="H470" s="64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2.75" customHeight="1" x14ac:dyDescent="0.2">
      <c r="A471" s="32"/>
      <c r="B471" s="32"/>
      <c r="C471" s="57"/>
      <c r="D471" s="32"/>
      <c r="E471" s="64"/>
      <c r="F471" s="64"/>
      <c r="G471" s="32"/>
      <c r="H471" s="64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2.75" customHeight="1" x14ac:dyDescent="0.2">
      <c r="A472" s="32"/>
      <c r="B472" s="32"/>
      <c r="C472" s="57"/>
      <c r="D472" s="32"/>
      <c r="E472" s="64"/>
      <c r="F472" s="64"/>
      <c r="G472" s="32"/>
      <c r="H472" s="64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2.75" customHeight="1" x14ac:dyDescent="0.2">
      <c r="A473" s="32"/>
      <c r="B473" s="32"/>
      <c r="C473" s="57"/>
      <c r="D473" s="32"/>
      <c r="E473" s="64"/>
      <c r="F473" s="64"/>
      <c r="G473" s="32"/>
      <c r="H473" s="64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2.75" customHeight="1" x14ac:dyDescent="0.2">
      <c r="A474" s="32"/>
      <c r="B474" s="32"/>
      <c r="C474" s="57"/>
      <c r="D474" s="32"/>
      <c r="E474" s="64"/>
      <c r="F474" s="64"/>
      <c r="G474" s="32"/>
      <c r="H474" s="64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2.75" customHeight="1" x14ac:dyDescent="0.2">
      <c r="A475" s="32"/>
      <c r="B475" s="32"/>
      <c r="C475" s="57"/>
      <c r="D475" s="32"/>
      <c r="E475" s="64"/>
      <c r="F475" s="64"/>
      <c r="G475" s="32"/>
      <c r="H475" s="64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2.75" customHeight="1" x14ac:dyDescent="0.2">
      <c r="A476" s="32"/>
      <c r="B476" s="32"/>
      <c r="C476" s="57"/>
      <c r="D476" s="32"/>
      <c r="E476" s="64"/>
      <c r="F476" s="64"/>
      <c r="G476" s="32"/>
      <c r="H476" s="64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2.75" customHeight="1" x14ac:dyDescent="0.2">
      <c r="A477" s="32"/>
      <c r="B477" s="32"/>
      <c r="C477" s="57"/>
      <c r="D477" s="32"/>
      <c r="E477" s="64"/>
      <c r="F477" s="64"/>
      <c r="G477" s="32"/>
      <c r="H477" s="64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2.75" customHeight="1" x14ac:dyDescent="0.2">
      <c r="A478" s="32"/>
      <c r="B478" s="32"/>
      <c r="C478" s="57"/>
      <c r="D478" s="32"/>
      <c r="E478" s="64"/>
      <c r="F478" s="64"/>
      <c r="G478" s="32"/>
      <c r="H478" s="64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2.75" customHeight="1" x14ac:dyDescent="0.2">
      <c r="A479" s="32"/>
      <c r="B479" s="32"/>
      <c r="C479" s="57"/>
      <c r="D479" s="32"/>
      <c r="E479" s="64"/>
      <c r="F479" s="64"/>
      <c r="G479" s="32"/>
      <c r="H479" s="64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2.75" customHeight="1" x14ac:dyDescent="0.2">
      <c r="A480" s="32"/>
      <c r="B480" s="32"/>
      <c r="C480" s="57"/>
      <c r="D480" s="32"/>
      <c r="E480" s="64"/>
      <c r="F480" s="64"/>
      <c r="G480" s="32"/>
      <c r="H480" s="64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2.75" customHeight="1" x14ac:dyDescent="0.2">
      <c r="A481" s="32"/>
      <c r="B481" s="32"/>
      <c r="C481" s="57"/>
      <c r="D481" s="32"/>
      <c r="E481" s="64"/>
      <c r="F481" s="64"/>
      <c r="G481" s="32"/>
      <c r="H481" s="64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2.75" customHeight="1" x14ac:dyDescent="0.2">
      <c r="A482" s="32"/>
      <c r="B482" s="32"/>
      <c r="C482" s="57"/>
      <c r="D482" s="32"/>
      <c r="E482" s="64"/>
      <c r="F482" s="64"/>
      <c r="G482" s="32"/>
      <c r="H482" s="64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2.75" customHeight="1" x14ac:dyDescent="0.2">
      <c r="A483" s="32"/>
      <c r="B483" s="32"/>
      <c r="C483" s="57"/>
      <c r="D483" s="32"/>
      <c r="E483" s="64"/>
      <c r="F483" s="64"/>
      <c r="G483" s="32"/>
      <c r="H483" s="64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2.75" customHeight="1" x14ac:dyDescent="0.2">
      <c r="A484" s="32"/>
      <c r="B484" s="32"/>
      <c r="C484" s="57"/>
      <c r="D484" s="32"/>
      <c r="E484" s="64"/>
      <c r="F484" s="64"/>
      <c r="G484" s="32"/>
      <c r="H484" s="64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2.75" customHeight="1" x14ac:dyDescent="0.2">
      <c r="A485" s="32"/>
      <c r="B485" s="32"/>
      <c r="C485" s="57"/>
      <c r="D485" s="32"/>
      <c r="E485" s="64"/>
      <c r="F485" s="64"/>
      <c r="G485" s="32"/>
      <c r="H485" s="64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2.75" customHeight="1" x14ac:dyDescent="0.2">
      <c r="A486" s="32"/>
      <c r="B486" s="32"/>
      <c r="C486" s="57"/>
      <c r="D486" s="32"/>
      <c r="E486" s="64"/>
      <c r="F486" s="64"/>
      <c r="G486" s="32"/>
      <c r="H486" s="64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2.75" customHeight="1" x14ac:dyDescent="0.2">
      <c r="A487" s="32"/>
      <c r="B487" s="32"/>
      <c r="C487" s="57"/>
      <c r="D487" s="32"/>
      <c r="E487" s="64"/>
      <c r="F487" s="64"/>
      <c r="G487" s="32"/>
      <c r="H487" s="64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2.75" customHeight="1" x14ac:dyDescent="0.2">
      <c r="A488" s="32"/>
      <c r="B488" s="32"/>
      <c r="C488" s="57"/>
      <c r="D488" s="32"/>
      <c r="E488" s="64"/>
      <c r="F488" s="64"/>
      <c r="G488" s="32"/>
      <c r="H488" s="64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2.75" customHeight="1" x14ac:dyDescent="0.2">
      <c r="A489" s="32"/>
      <c r="B489" s="32"/>
      <c r="C489" s="57"/>
      <c r="D489" s="32"/>
      <c r="E489" s="64"/>
      <c r="F489" s="64"/>
      <c r="G489" s="32"/>
      <c r="H489" s="64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2.75" customHeight="1" x14ac:dyDescent="0.2">
      <c r="A490" s="32"/>
      <c r="B490" s="32"/>
      <c r="C490" s="57"/>
      <c r="D490" s="32"/>
      <c r="E490" s="64"/>
      <c r="F490" s="64"/>
      <c r="G490" s="32"/>
      <c r="H490" s="64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2.75" customHeight="1" x14ac:dyDescent="0.2">
      <c r="A491" s="32"/>
      <c r="B491" s="32"/>
      <c r="C491" s="57"/>
      <c r="D491" s="32"/>
      <c r="E491" s="64"/>
      <c r="F491" s="64"/>
      <c r="G491" s="32"/>
      <c r="H491" s="64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2.75" customHeight="1" x14ac:dyDescent="0.2">
      <c r="A492" s="32"/>
      <c r="B492" s="32"/>
      <c r="C492" s="57"/>
      <c r="D492" s="32"/>
      <c r="E492" s="64"/>
      <c r="F492" s="64"/>
      <c r="G492" s="32"/>
      <c r="H492" s="64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2.75" customHeight="1" x14ac:dyDescent="0.2">
      <c r="A493" s="32"/>
      <c r="B493" s="32"/>
      <c r="C493" s="57"/>
      <c r="D493" s="32"/>
      <c r="E493" s="64"/>
      <c r="F493" s="64"/>
      <c r="G493" s="32"/>
      <c r="H493" s="64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2.75" customHeight="1" x14ac:dyDescent="0.2">
      <c r="A494" s="32"/>
      <c r="B494" s="32"/>
      <c r="C494" s="57"/>
      <c r="D494" s="32"/>
      <c r="E494" s="64"/>
      <c r="F494" s="64"/>
      <c r="G494" s="32"/>
      <c r="H494" s="64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2.75" customHeight="1" x14ac:dyDescent="0.2">
      <c r="A495" s="32"/>
      <c r="B495" s="32"/>
      <c r="C495" s="57"/>
      <c r="D495" s="32"/>
      <c r="E495" s="64"/>
      <c r="F495" s="64"/>
      <c r="G495" s="32"/>
      <c r="H495" s="64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2.75" customHeight="1" x14ac:dyDescent="0.2">
      <c r="A496" s="32"/>
      <c r="B496" s="32"/>
      <c r="C496" s="57"/>
      <c r="D496" s="32"/>
      <c r="E496" s="64"/>
      <c r="F496" s="64"/>
      <c r="G496" s="32"/>
      <c r="H496" s="64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2.75" customHeight="1" x14ac:dyDescent="0.2">
      <c r="A497" s="32"/>
      <c r="B497" s="32"/>
      <c r="C497" s="57"/>
      <c r="D497" s="32"/>
      <c r="E497" s="64"/>
      <c r="F497" s="64"/>
      <c r="G497" s="32"/>
      <c r="H497" s="64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2.75" customHeight="1" x14ac:dyDescent="0.2">
      <c r="A498" s="32"/>
      <c r="B498" s="32"/>
      <c r="C498" s="57"/>
      <c r="D498" s="32"/>
      <c r="E498" s="64"/>
      <c r="F498" s="64"/>
      <c r="G498" s="32"/>
      <c r="H498" s="64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2.75" customHeight="1" x14ac:dyDescent="0.2">
      <c r="A499" s="32"/>
      <c r="B499" s="32"/>
      <c r="C499" s="57"/>
      <c r="D499" s="32"/>
      <c r="E499" s="64"/>
      <c r="F499" s="64"/>
      <c r="G499" s="32"/>
      <c r="H499" s="64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2.75" customHeight="1" x14ac:dyDescent="0.2">
      <c r="A500" s="32"/>
      <c r="B500" s="32"/>
      <c r="C500" s="57"/>
      <c r="D500" s="32"/>
      <c r="E500" s="64"/>
      <c r="F500" s="64"/>
      <c r="G500" s="32"/>
      <c r="H500" s="64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2.75" customHeight="1" x14ac:dyDescent="0.2">
      <c r="A501" s="32"/>
      <c r="B501" s="32"/>
      <c r="C501" s="57"/>
      <c r="D501" s="32"/>
      <c r="E501" s="64"/>
      <c r="F501" s="64"/>
      <c r="G501" s="32"/>
      <c r="H501" s="64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2.75" customHeight="1" x14ac:dyDescent="0.2">
      <c r="A502" s="32"/>
      <c r="B502" s="32"/>
      <c r="C502" s="57"/>
      <c r="D502" s="32"/>
      <c r="E502" s="64"/>
      <c r="F502" s="64"/>
      <c r="G502" s="32"/>
      <c r="H502" s="64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2.75" customHeight="1" x14ac:dyDescent="0.2">
      <c r="A503" s="32"/>
      <c r="B503" s="32"/>
      <c r="C503" s="57"/>
      <c r="D503" s="32"/>
      <c r="E503" s="64"/>
      <c r="F503" s="64"/>
      <c r="G503" s="32"/>
      <c r="H503" s="64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2.75" customHeight="1" x14ac:dyDescent="0.2">
      <c r="A504" s="32"/>
      <c r="B504" s="32"/>
      <c r="C504" s="57"/>
      <c r="D504" s="32"/>
      <c r="E504" s="64"/>
      <c r="F504" s="64"/>
      <c r="G504" s="32"/>
      <c r="H504" s="64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2.75" customHeight="1" x14ac:dyDescent="0.2">
      <c r="A505" s="32"/>
      <c r="B505" s="32"/>
      <c r="C505" s="57"/>
      <c r="D505" s="32"/>
      <c r="E505" s="64"/>
      <c r="F505" s="64"/>
      <c r="G505" s="32"/>
      <c r="H505" s="64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2.75" customHeight="1" x14ac:dyDescent="0.2">
      <c r="A506" s="32"/>
      <c r="B506" s="32"/>
      <c r="C506" s="57"/>
      <c r="D506" s="32"/>
      <c r="E506" s="64"/>
      <c r="F506" s="64"/>
      <c r="G506" s="32"/>
      <c r="H506" s="64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2.75" customHeight="1" x14ac:dyDescent="0.2">
      <c r="A507" s="32"/>
      <c r="B507" s="32"/>
      <c r="C507" s="57"/>
      <c r="D507" s="32"/>
      <c r="E507" s="64"/>
      <c r="F507" s="64"/>
      <c r="G507" s="32"/>
      <c r="H507" s="64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2.75" customHeight="1" x14ac:dyDescent="0.2">
      <c r="A508" s="32"/>
      <c r="B508" s="32"/>
      <c r="C508" s="57"/>
      <c r="D508" s="32"/>
      <c r="E508" s="64"/>
      <c r="F508" s="64"/>
      <c r="G508" s="32"/>
      <c r="H508" s="64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2.75" customHeight="1" x14ac:dyDescent="0.2">
      <c r="A509" s="32"/>
      <c r="B509" s="32"/>
      <c r="C509" s="57"/>
      <c r="D509" s="32"/>
      <c r="E509" s="64"/>
      <c r="F509" s="64"/>
      <c r="G509" s="32"/>
      <c r="H509" s="64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2.75" customHeight="1" x14ac:dyDescent="0.2">
      <c r="A510" s="32"/>
      <c r="B510" s="32"/>
      <c r="C510" s="57"/>
      <c r="D510" s="32"/>
      <c r="E510" s="64"/>
      <c r="F510" s="64"/>
      <c r="G510" s="32"/>
      <c r="H510" s="64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2.75" customHeight="1" x14ac:dyDescent="0.2">
      <c r="A511" s="32"/>
      <c r="B511" s="32"/>
      <c r="C511" s="57"/>
      <c r="D511" s="32"/>
      <c r="E511" s="64"/>
      <c r="F511" s="64"/>
      <c r="G511" s="32"/>
      <c r="H511" s="64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2.75" customHeight="1" x14ac:dyDescent="0.2">
      <c r="A512" s="32"/>
      <c r="B512" s="32"/>
      <c r="C512" s="57"/>
      <c r="D512" s="32"/>
      <c r="E512" s="64"/>
      <c r="F512" s="64"/>
      <c r="G512" s="32"/>
      <c r="H512" s="64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2.75" customHeight="1" x14ac:dyDescent="0.2">
      <c r="A513" s="32"/>
      <c r="B513" s="32"/>
      <c r="C513" s="57"/>
      <c r="D513" s="32"/>
      <c r="E513" s="64"/>
      <c r="F513" s="64"/>
      <c r="G513" s="32"/>
      <c r="H513" s="64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2.75" customHeight="1" x14ac:dyDescent="0.2">
      <c r="A514" s="32"/>
      <c r="B514" s="32"/>
      <c r="C514" s="57"/>
      <c r="D514" s="32"/>
      <c r="E514" s="64"/>
      <c r="F514" s="64"/>
      <c r="G514" s="32"/>
      <c r="H514" s="64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2.75" customHeight="1" x14ac:dyDescent="0.2">
      <c r="A515" s="32"/>
      <c r="B515" s="32"/>
      <c r="C515" s="57"/>
      <c r="D515" s="32"/>
      <c r="E515" s="64"/>
      <c r="F515" s="64"/>
      <c r="G515" s="32"/>
      <c r="H515" s="64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2.75" customHeight="1" x14ac:dyDescent="0.2">
      <c r="A516" s="32"/>
      <c r="B516" s="32"/>
      <c r="C516" s="57"/>
      <c r="D516" s="32"/>
      <c r="E516" s="64"/>
      <c r="F516" s="64"/>
      <c r="G516" s="32"/>
      <c r="H516" s="64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2.75" customHeight="1" x14ac:dyDescent="0.2">
      <c r="A517" s="32"/>
      <c r="B517" s="32"/>
      <c r="C517" s="57"/>
      <c r="D517" s="32"/>
      <c r="E517" s="64"/>
      <c r="F517" s="64"/>
      <c r="G517" s="32"/>
      <c r="H517" s="64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2.75" customHeight="1" x14ac:dyDescent="0.2">
      <c r="A518" s="32"/>
      <c r="B518" s="32"/>
      <c r="C518" s="57"/>
      <c r="D518" s="32"/>
      <c r="E518" s="64"/>
      <c r="F518" s="64"/>
      <c r="G518" s="32"/>
      <c r="H518" s="64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2.75" customHeight="1" x14ac:dyDescent="0.2">
      <c r="A519" s="32"/>
      <c r="B519" s="32"/>
      <c r="C519" s="57"/>
      <c r="D519" s="32"/>
      <c r="E519" s="64"/>
      <c r="F519" s="64"/>
      <c r="G519" s="32"/>
      <c r="H519" s="64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2.75" customHeight="1" x14ac:dyDescent="0.2">
      <c r="A520" s="32"/>
      <c r="B520" s="32"/>
      <c r="C520" s="57"/>
      <c r="D520" s="32"/>
      <c r="E520" s="64"/>
      <c r="F520" s="64"/>
      <c r="G520" s="32"/>
      <c r="H520" s="64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2.75" customHeight="1" x14ac:dyDescent="0.2">
      <c r="A521" s="32"/>
      <c r="B521" s="32"/>
      <c r="C521" s="57"/>
      <c r="D521" s="32"/>
      <c r="E521" s="64"/>
      <c r="F521" s="64"/>
      <c r="G521" s="32"/>
      <c r="H521" s="64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2.75" customHeight="1" x14ac:dyDescent="0.2">
      <c r="A522" s="32"/>
      <c r="B522" s="32"/>
      <c r="C522" s="57"/>
      <c r="D522" s="32"/>
      <c r="E522" s="64"/>
      <c r="F522" s="64"/>
      <c r="G522" s="32"/>
      <c r="H522" s="64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2.75" customHeight="1" x14ac:dyDescent="0.2">
      <c r="A523" s="32"/>
      <c r="B523" s="32"/>
      <c r="C523" s="57"/>
      <c r="D523" s="32"/>
      <c r="E523" s="64"/>
      <c r="F523" s="64"/>
      <c r="G523" s="32"/>
      <c r="H523" s="64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2.75" customHeight="1" x14ac:dyDescent="0.2">
      <c r="A524" s="32"/>
      <c r="B524" s="32"/>
      <c r="C524" s="57"/>
      <c r="D524" s="32"/>
      <c r="E524" s="64"/>
      <c r="F524" s="64"/>
      <c r="G524" s="32"/>
      <c r="H524" s="64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2.75" customHeight="1" x14ac:dyDescent="0.2">
      <c r="A525" s="32"/>
      <c r="B525" s="32"/>
      <c r="C525" s="57"/>
      <c r="D525" s="32"/>
      <c r="E525" s="64"/>
      <c r="F525" s="64"/>
      <c r="G525" s="32"/>
      <c r="H525" s="64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2.75" customHeight="1" x14ac:dyDescent="0.2">
      <c r="A526" s="32"/>
      <c r="B526" s="32"/>
      <c r="C526" s="57"/>
      <c r="D526" s="32"/>
      <c r="E526" s="64"/>
      <c r="F526" s="64"/>
      <c r="G526" s="32"/>
      <c r="H526" s="64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2.75" customHeight="1" x14ac:dyDescent="0.2">
      <c r="A527" s="32"/>
      <c r="B527" s="32"/>
      <c r="C527" s="57"/>
      <c r="D527" s="32"/>
      <c r="E527" s="64"/>
      <c r="F527" s="64"/>
      <c r="G527" s="32"/>
      <c r="H527" s="64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2.75" customHeight="1" x14ac:dyDescent="0.2">
      <c r="A528" s="32"/>
      <c r="B528" s="32"/>
      <c r="C528" s="57"/>
      <c r="D528" s="32"/>
      <c r="E528" s="64"/>
      <c r="F528" s="64"/>
      <c r="G528" s="32"/>
      <c r="H528" s="64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2.75" customHeight="1" x14ac:dyDescent="0.2">
      <c r="A529" s="32"/>
      <c r="B529" s="32"/>
      <c r="C529" s="57"/>
      <c r="D529" s="32"/>
      <c r="E529" s="64"/>
      <c r="F529" s="64"/>
      <c r="G529" s="32"/>
      <c r="H529" s="64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2.75" customHeight="1" x14ac:dyDescent="0.2">
      <c r="A530" s="32"/>
      <c r="B530" s="32"/>
      <c r="C530" s="57"/>
      <c r="D530" s="32"/>
      <c r="E530" s="64"/>
      <c r="F530" s="64"/>
      <c r="G530" s="32"/>
      <c r="H530" s="64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2.75" customHeight="1" x14ac:dyDescent="0.2">
      <c r="A531" s="32"/>
      <c r="B531" s="32"/>
      <c r="C531" s="57"/>
      <c r="D531" s="32"/>
      <c r="E531" s="64"/>
      <c r="F531" s="64"/>
      <c r="G531" s="32"/>
      <c r="H531" s="64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2.75" customHeight="1" x14ac:dyDescent="0.2">
      <c r="A532" s="32"/>
      <c r="B532" s="32"/>
      <c r="C532" s="57"/>
      <c r="D532" s="32"/>
      <c r="E532" s="64"/>
      <c r="F532" s="64"/>
      <c r="G532" s="32"/>
      <c r="H532" s="64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2.75" customHeight="1" x14ac:dyDescent="0.2">
      <c r="A533" s="32"/>
      <c r="B533" s="32"/>
      <c r="C533" s="57"/>
      <c r="D533" s="32"/>
      <c r="E533" s="64"/>
      <c r="F533" s="64"/>
      <c r="G533" s="32"/>
      <c r="H533" s="64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2.75" customHeight="1" x14ac:dyDescent="0.2">
      <c r="A534" s="32"/>
      <c r="B534" s="32"/>
      <c r="C534" s="57"/>
      <c r="D534" s="32"/>
      <c r="E534" s="64"/>
      <c r="F534" s="64"/>
      <c r="G534" s="32"/>
      <c r="H534" s="64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2.75" customHeight="1" x14ac:dyDescent="0.2">
      <c r="A535" s="32"/>
      <c r="B535" s="32"/>
      <c r="C535" s="57"/>
      <c r="D535" s="32"/>
      <c r="E535" s="64"/>
      <c r="F535" s="64"/>
      <c r="G535" s="32"/>
      <c r="H535" s="64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2.75" customHeight="1" x14ac:dyDescent="0.2">
      <c r="A536" s="32"/>
      <c r="B536" s="32"/>
      <c r="C536" s="57"/>
      <c r="D536" s="32"/>
      <c r="E536" s="64"/>
      <c r="F536" s="64"/>
      <c r="G536" s="32"/>
      <c r="H536" s="64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2.75" customHeight="1" x14ac:dyDescent="0.2">
      <c r="A537" s="32"/>
      <c r="B537" s="32"/>
      <c r="C537" s="57"/>
      <c r="D537" s="32"/>
      <c r="E537" s="64"/>
      <c r="F537" s="64"/>
      <c r="G537" s="32"/>
      <c r="H537" s="64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2.75" customHeight="1" x14ac:dyDescent="0.2">
      <c r="A538" s="32"/>
      <c r="B538" s="32"/>
      <c r="C538" s="57"/>
      <c r="D538" s="32"/>
      <c r="E538" s="64"/>
      <c r="F538" s="64"/>
      <c r="G538" s="32"/>
      <c r="H538" s="64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2.75" customHeight="1" x14ac:dyDescent="0.2">
      <c r="A539" s="32"/>
      <c r="B539" s="32"/>
      <c r="C539" s="57"/>
      <c r="D539" s="32"/>
      <c r="E539" s="64"/>
      <c r="F539" s="64"/>
      <c r="G539" s="32"/>
      <c r="H539" s="64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2.75" customHeight="1" x14ac:dyDescent="0.2">
      <c r="A540" s="32"/>
      <c r="B540" s="32"/>
      <c r="C540" s="57"/>
      <c r="D540" s="32"/>
      <c r="E540" s="64"/>
      <c r="F540" s="64"/>
      <c r="G540" s="32"/>
      <c r="H540" s="64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2.75" customHeight="1" x14ac:dyDescent="0.2">
      <c r="A541" s="32"/>
      <c r="B541" s="32"/>
      <c r="C541" s="57"/>
      <c r="D541" s="32"/>
      <c r="E541" s="64"/>
      <c r="F541" s="64"/>
      <c r="G541" s="32"/>
      <c r="H541" s="64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2.75" customHeight="1" x14ac:dyDescent="0.2">
      <c r="A542" s="32"/>
      <c r="B542" s="32"/>
      <c r="C542" s="57"/>
      <c r="D542" s="32"/>
      <c r="E542" s="64"/>
      <c r="F542" s="64"/>
      <c r="G542" s="32"/>
      <c r="H542" s="64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2.75" customHeight="1" x14ac:dyDescent="0.2">
      <c r="A543" s="32"/>
      <c r="B543" s="32"/>
      <c r="C543" s="57"/>
      <c r="D543" s="32"/>
      <c r="E543" s="64"/>
      <c r="F543" s="64"/>
      <c r="G543" s="32"/>
      <c r="H543" s="64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2.75" customHeight="1" x14ac:dyDescent="0.2">
      <c r="A544" s="32"/>
      <c r="B544" s="32"/>
      <c r="C544" s="57"/>
      <c r="D544" s="32"/>
      <c r="E544" s="64"/>
      <c r="F544" s="64"/>
      <c r="G544" s="32"/>
      <c r="H544" s="64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2.75" customHeight="1" x14ac:dyDescent="0.2">
      <c r="A545" s="32"/>
      <c r="B545" s="32"/>
      <c r="C545" s="57"/>
      <c r="D545" s="32"/>
      <c r="E545" s="64"/>
      <c r="F545" s="64"/>
      <c r="G545" s="32"/>
      <c r="H545" s="64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2.75" customHeight="1" x14ac:dyDescent="0.2">
      <c r="A546" s="32"/>
      <c r="B546" s="32"/>
      <c r="C546" s="57"/>
      <c r="D546" s="32"/>
      <c r="E546" s="64"/>
      <c r="F546" s="64"/>
      <c r="G546" s="32"/>
      <c r="H546" s="64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2.75" customHeight="1" x14ac:dyDescent="0.2">
      <c r="A547" s="32"/>
      <c r="B547" s="32"/>
      <c r="C547" s="57"/>
      <c r="D547" s="32"/>
      <c r="E547" s="64"/>
      <c r="F547" s="64"/>
      <c r="G547" s="32"/>
      <c r="H547" s="64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2.75" customHeight="1" x14ac:dyDescent="0.2">
      <c r="A548" s="32"/>
      <c r="B548" s="32"/>
      <c r="C548" s="57"/>
      <c r="D548" s="32"/>
      <c r="E548" s="64"/>
      <c r="F548" s="64"/>
      <c r="G548" s="32"/>
      <c r="H548" s="64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2.75" customHeight="1" x14ac:dyDescent="0.2">
      <c r="A549" s="32"/>
      <c r="B549" s="32"/>
      <c r="C549" s="57"/>
      <c r="D549" s="32"/>
      <c r="E549" s="64"/>
      <c r="F549" s="64"/>
      <c r="G549" s="32"/>
      <c r="H549" s="64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2.75" customHeight="1" x14ac:dyDescent="0.2">
      <c r="A550" s="32"/>
      <c r="B550" s="32"/>
      <c r="C550" s="57"/>
      <c r="D550" s="32"/>
      <c r="E550" s="64"/>
      <c r="F550" s="64"/>
      <c r="G550" s="32"/>
      <c r="H550" s="64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2.75" customHeight="1" x14ac:dyDescent="0.2">
      <c r="A551" s="32"/>
      <c r="B551" s="32"/>
      <c r="C551" s="57"/>
      <c r="D551" s="32"/>
      <c r="E551" s="64"/>
      <c r="F551" s="64"/>
      <c r="G551" s="32"/>
      <c r="H551" s="64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2.75" customHeight="1" x14ac:dyDescent="0.2">
      <c r="A552" s="32"/>
      <c r="B552" s="32"/>
      <c r="C552" s="57"/>
      <c r="D552" s="32"/>
      <c r="E552" s="64"/>
      <c r="F552" s="64"/>
      <c r="G552" s="32"/>
      <c r="H552" s="64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2.75" customHeight="1" x14ac:dyDescent="0.2">
      <c r="A553" s="32"/>
      <c r="B553" s="32"/>
      <c r="C553" s="57"/>
      <c r="D553" s="32"/>
      <c r="E553" s="64"/>
      <c r="F553" s="64"/>
      <c r="G553" s="32"/>
      <c r="H553" s="64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2.75" customHeight="1" x14ac:dyDescent="0.2">
      <c r="A554" s="32"/>
      <c r="B554" s="32"/>
      <c r="C554" s="57"/>
      <c r="D554" s="32"/>
      <c r="E554" s="64"/>
      <c r="F554" s="64"/>
      <c r="G554" s="32"/>
      <c r="H554" s="64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2.75" customHeight="1" x14ac:dyDescent="0.2">
      <c r="A555" s="32"/>
      <c r="B555" s="32"/>
      <c r="C555" s="57"/>
      <c r="D555" s="32"/>
      <c r="E555" s="64"/>
      <c r="F555" s="64"/>
      <c r="G555" s="32"/>
      <c r="H555" s="64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2.75" customHeight="1" x14ac:dyDescent="0.2">
      <c r="A556" s="32"/>
      <c r="B556" s="32"/>
      <c r="C556" s="57"/>
      <c r="D556" s="32"/>
      <c r="E556" s="64"/>
      <c r="F556" s="64"/>
      <c r="G556" s="32"/>
      <c r="H556" s="64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2.75" customHeight="1" x14ac:dyDescent="0.2">
      <c r="A557" s="32"/>
      <c r="B557" s="32"/>
      <c r="C557" s="57"/>
      <c r="D557" s="32"/>
      <c r="E557" s="64"/>
      <c r="F557" s="64"/>
      <c r="G557" s="32"/>
      <c r="H557" s="64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2.75" customHeight="1" x14ac:dyDescent="0.2">
      <c r="A558" s="32"/>
      <c r="B558" s="32"/>
      <c r="C558" s="57"/>
      <c r="D558" s="32"/>
      <c r="E558" s="64"/>
      <c r="F558" s="64"/>
      <c r="G558" s="32"/>
      <c r="H558" s="64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2.75" customHeight="1" x14ac:dyDescent="0.2">
      <c r="A559" s="32"/>
      <c r="B559" s="32"/>
      <c r="C559" s="57"/>
      <c r="D559" s="32"/>
      <c r="E559" s="64"/>
      <c r="F559" s="64"/>
      <c r="G559" s="32"/>
      <c r="H559" s="64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2.75" customHeight="1" x14ac:dyDescent="0.2">
      <c r="A560" s="32"/>
      <c r="B560" s="32"/>
      <c r="C560" s="57"/>
      <c r="D560" s="32"/>
      <c r="E560" s="64"/>
      <c r="F560" s="64"/>
      <c r="G560" s="32"/>
      <c r="H560" s="64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2.75" customHeight="1" x14ac:dyDescent="0.2">
      <c r="A561" s="32"/>
      <c r="B561" s="32"/>
      <c r="C561" s="57"/>
      <c r="D561" s="32"/>
      <c r="E561" s="64"/>
      <c r="F561" s="64"/>
      <c r="G561" s="32"/>
      <c r="H561" s="64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2.75" customHeight="1" x14ac:dyDescent="0.2">
      <c r="A562" s="32"/>
      <c r="B562" s="32"/>
      <c r="C562" s="57"/>
      <c r="D562" s="32"/>
      <c r="E562" s="64"/>
      <c r="F562" s="64"/>
      <c r="G562" s="32"/>
      <c r="H562" s="64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2.75" customHeight="1" x14ac:dyDescent="0.2">
      <c r="A563" s="32"/>
      <c r="B563" s="32"/>
      <c r="C563" s="57"/>
      <c r="D563" s="32"/>
      <c r="E563" s="64"/>
      <c r="F563" s="64"/>
      <c r="G563" s="32"/>
      <c r="H563" s="64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2.75" customHeight="1" x14ac:dyDescent="0.2">
      <c r="A564" s="32"/>
      <c r="B564" s="32"/>
      <c r="C564" s="57"/>
      <c r="D564" s="32"/>
      <c r="E564" s="64"/>
      <c r="F564" s="64"/>
      <c r="G564" s="32"/>
      <c r="H564" s="64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2.75" customHeight="1" x14ac:dyDescent="0.2">
      <c r="A565" s="32"/>
      <c r="B565" s="32"/>
      <c r="C565" s="57"/>
      <c r="D565" s="32"/>
      <c r="E565" s="64"/>
      <c r="F565" s="64"/>
      <c r="G565" s="32"/>
      <c r="H565" s="64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2.75" customHeight="1" x14ac:dyDescent="0.2">
      <c r="A566" s="32"/>
      <c r="B566" s="32"/>
      <c r="C566" s="57"/>
      <c r="D566" s="32"/>
      <c r="E566" s="64"/>
      <c r="F566" s="64"/>
      <c r="G566" s="32"/>
      <c r="H566" s="64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2.75" customHeight="1" x14ac:dyDescent="0.2">
      <c r="A567" s="32"/>
      <c r="B567" s="32"/>
      <c r="C567" s="57"/>
      <c r="D567" s="32"/>
      <c r="E567" s="64"/>
      <c r="F567" s="64"/>
      <c r="G567" s="32"/>
      <c r="H567" s="64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2.75" customHeight="1" x14ac:dyDescent="0.2">
      <c r="A568" s="32"/>
      <c r="B568" s="32"/>
      <c r="C568" s="57"/>
      <c r="D568" s="32"/>
      <c r="E568" s="64"/>
      <c r="F568" s="64"/>
      <c r="G568" s="32"/>
      <c r="H568" s="64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2.75" customHeight="1" x14ac:dyDescent="0.2">
      <c r="A569" s="32"/>
      <c r="B569" s="32"/>
      <c r="C569" s="57"/>
      <c r="D569" s="32"/>
      <c r="E569" s="64"/>
      <c r="F569" s="64"/>
      <c r="G569" s="32"/>
      <c r="H569" s="64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2.75" customHeight="1" x14ac:dyDescent="0.2">
      <c r="A570" s="32"/>
      <c r="B570" s="32"/>
      <c r="C570" s="57"/>
      <c r="D570" s="32"/>
      <c r="E570" s="64"/>
      <c r="F570" s="64"/>
      <c r="G570" s="32"/>
      <c r="H570" s="64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2.75" customHeight="1" x14ac:dyDescent="0.2">
      <c r="A571" s="32"/>
      <c r="B571" s="32"/>
      <c r="C571" s="57"/>
      <c r="D571" s="32"/>
      <c r="E571" s="64"/>
      <c r="F571" s="64"/>
      <c r="G571" s="32"/>
      <c r="H571" s="64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2.75" customHeight="1" x14ac:dyDescent="0.2">
      <c r="A572" s="32"/>
      <c r="B572" s="32"/>
      <c r="C572" s="57"/>
      <c r="D572" s="32"/>
      <c r="E572" s="64"/>
      <c r="F572" s="64"/>
      <c r="G572" s="32"/>
      <c r="H572" s="64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2.75" customHeight="1" x14ac:dyDescent="0.2">
      <c r="A573" s="32"/>
      <c r="B573" s="32"/>
      <c r="C573" s="57"/>
      <c r="D573" s="32"/>
      <c r="E573" s="64"/>
      <c r="F573" s="64"/>
      <c r="G573" s="32"/>
      <c r="H573" s="64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2.75" customHeight="1" x14ac:dyDescent="0.2">
      <c r="A574" s="32"/>
      <c r="B574" s="32"/>
      <c r="C574" s="57"/>
      <c r="D574" s="32"/>
      <c r="E574" s="64"/>
      <c r="F574" s="64"/>
      <c r="G574" s="32"/>
      <c r="H574" s="64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2.75" customHeight="1" x14ac:dyDescent="0.2">
      <c r="A575" s="32"/>
      <c r="B575" s="32"/>
      <c r="C575" s="57"/>
      <c r="D575" s="32"/>
      <c r="E575" s="64"/>
      <c r="F575" s="64"/>
      <c r="G575" s="32"/>
      <c r="H575" s="64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2.75" customHeight="1" x14ac:dyDescent="0.2">
      <c r="A576" s="32"/>
      <c r="B576" s="32"/>
      <c r="C576" s="57"/>
      <c r="D576" s="32"/>
      <c r="E576" s="64"/>
      <c r="F576" s="64"/>
      <c r="G576" s="32"/>
      <c r="H576" s="64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2.75" customHeight="1" x14ac:dyDescent="0.2">
      <c r="A577" s="32"/>
      <c r="B577" s="32"/>
      <c r="C577" s="57"/>
      <c r="D577" s="32"/>
      <c r="E577" s="64"/>
      <c r="F577" s="64"/>
      <c r="G577" s="32"/>
      <c r="H577" s="64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2.75" customHeight="1" x14ac:dyDescent="0.2">
      <c r="A578" s="32"/>
      <c r="B578" s="32"/>
      <c r="C578" s="57"/>
      <c r="D578" s="32"/>
      <c r="E578" s="64"/>
      <c r="F578" s="64"/>
      <c r="G578" s="32"/>
      <c r="H578" s="64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2.75" customHeight="1" x14ac:dyDescent="0.2">
      <c r="A579" s="32"/>
      <c r="B579" s="32"/>
      <c r="C579" s="57"/>
      <c r="D579" s="32"/>
      <c r="E579" s="64"/>
      <c r="F579" s="64"/>
      <c r="G579" s="32"/>
      <c r="H579" s="64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2.75" customHeight="1" x14ac:dyDescent="0.2">
      <c r="A580" s="32"/>
      <c r="B580" s="32"/>
      <c r="C580" s="57"/>
      <c r="D580" s="32"/>
      <c r="E580" s="64"/>
      <c r="F580" s="64"/>
      <c r="G580" s="32"/>
      <c r="H580" s="64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2.75" customHeight="1" x14ac:dyDescent="0.2">
      <c r="A581" s="32"/>
      <c r="B581" s="32"/>
      <c r="C581" s="57"/>
      <c r="D581" s="32"/>
      <c r="E581" s="64"/>
      <c r="F581" s="64"/>
      <c r="G581" s="32"/>
      <c r="H581" s="64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2.75" customHeight="1" x14ac:dyDescent="0.2">
      <c r="A582" s="32"/>
      <c r="B582" s="32"/>
      <c r="C582" s="57"/>
      <c r="D582" s="32"/>
      <c r="E582" s="64"/>
      <c r="F582" s="64"/>
      <c r="G582" s="32"/>
      <c r="H582" s="64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2.75" customHeight="1" x14ac:dyDescent="0.2">
      <c r="A583" s="32"/>
      <c r="B583" s="32"/>
      <c r="C583" s="57"/>
      <c r="D583" s="32"/>
      <c r="E583" s="64"/>
      <c r="F583" s="64"/>
      <c r="G583" s="32"/>
      <c r="H583" s="64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2.75" customHeight="1" x14ac:dyDescent="0.2">
      <c r="A584" s="32"/>
      <c r="B584" s="32"/>
      <c r="C584" s="57"/>
      <c r="D584" s="32"/>
      <c r="E584" s="64"/>
      <c r="F584" s="64"/>
      <c r="G584" s="32"/>
      <c r="H584" s="64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2.75" customHeight="1" x14ac:dyDescent="0.2">
      <c r="A585" s="32"/>
      <c r="B585" s="32"/>
      <c r="C585" s="57"/>
      <c r="D585" s="32"/>
      <c r="E585" s="64"/>
      <c r="F585" s="64"/>
      <c r="G585" s="32"/>
      <c r="H585" s="64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2.75" customHeight="1" x14ac:dyDescent="0.2">
      <c r="A586" s="32"/>
      <c r="B586" s="32"/>
      <c r="C586" s="57"/>
      <c r="D586" s="32"/>
      <c r="E586" s="64"/>
      <c r="F586" s="64"/>
      <c r="G586" s="32"/>
      <c r="H586" s="64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2.75" customHeight="1" x14ac:dyDescent="0.2">
      <c r="A587" s="32"/>
      <c r="B587" s="32"/>
      <c r="C587" s="57"/>
      <c r="D587" s="32"/>
      <c r="E587" s="64"/>
      <c r="F587" s="64"/>
      <c r="G587" s="32"/>
      <c r="H587" s="64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2.75" customHeight="1" x14ac:dyDescent="0.2">
      <c r="A588" s="32"/>
      <c r="B588" s="32"/>
      <c r="C588" s="57"/>
      <c r="D588" s="32"/>
      <c r="E588" s="64"/>
      <c r="F588" s="64"/>
      <c r="G588" s="32"/>
      <c r="H588" s="64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2.75" customHeight="1" x14ac:dyDescent="0.2">
      <c r="A589" s="32"/>
      <c r="B589" s="32"/>
      <c r="C589" s="57"/>
      <c r="D589" s="32"/>
      <c r="E589" s="64"/>
      <c r="F589" s="64"/>
      <c r="G589" s="32"/>
      <c r="H589" s="64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2.75" customHeight="1" x14ac:dyDescent="0.2">
      <c r="A590" s="32"/>
      <c r="B590" s="32"/>
      <c r="C590" s="57"/>
      <c r="D590" s="32"/>
      <c r="E590" s="64"/>
      <c r="F590" s="64"/>
      <c r="G590" s="32"/>
      <c r="H590" s="64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2.75" customHeight="1" x14ac:dyDescent="0.2">
      <c r="A591" s="32"/>
      <c r="B591" s="32"/>
      <c r="C591" s="57"/>
      <c r="D591" s="32"/>
      <c r="E591" s="64"/>
      <c r="F591" s="64"/>
      <c r="G591" s="32"/>
      <c r="H591" s="64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2.75" customHeight="1" x14ac:dyDescent="0.2">
      <c r="A592" s="32"/>
      <c r="B592" s="32"/>
      <c r="C592" s="57"/>
      <c r="D592" s="32"/>
      <c r="E592" s="64"/>
      <c r="F592" s="64"/>
      <c r="G592" s="32"/>
      <c r="H592" s="64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2.75" customHeight="1" x14ac:dyDescent="0.2">
      <c r="A593" s="32"/>
      <c r="B593" s="32"/>
      <c r="C593" s="57"/>
      <c r="D593" s="32"/>
      <c r="E593" s="64"/>
      <c r="F593" s="64"/>
      <c r="G593" s="32"/>
      <c r="H593" s="64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2.75" customHeight="1" x14ac:dyDescent="0.2">
      <c r="A594" s="32"/>
      <c r="B594" s="32"/>
      <c r="C594" s="57"/>
      <c r="D594" s="32"/>
      <c r="E594" s="64"/>
      <c r="F594" s="64"/>
      <c r="G594" s="32"/>
      <c r="H594" s="64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2.75" customHeight="1" x14ac:dyDescent="0.2">
      <c r="A595" s="32"/>
      <c r="B595" s="32"/>
      <c r="C595" s="57"/>
      <c r="D595" s="32"/>
      <c r="E595" s="64"/>
      <c r="F595" s="64"/>
      <c r="G595" s="32"/>
      <c r="H595" s="64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2.75" customHeight="1" x14ac:dyDescent="0.2">
      <c r="A596" s="32"/>
      <c r="B596" s="32"/>
      <c r="C596" s="57"/>
      <c r="D596" s="32"/>
      <c r="E596" s="64"/>
      <c r="F596" s="64"/>
      <c r="G596" s="32"/>
      <c r="H596" s="64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2.75" customHeight="1" x14ac:dyDescent="0.2">
      <c r="A597" s="32"/>
      <c r="B597" s="32"/>
      <c r="C597" s="57"/>
      <c r="D597" s="32"/>
      <c r="E597" s="64"/>
      <c r="F597" s="64"/>
      <c r="G597" s="32"/>
      <c r="H597" s="64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2.75" customHeight="1" x14ac:dyDescent="0.2">
      <c r="A598" s="32"/>
      <c r="B598" s="32"/>
      <c r="C598" s="57"/>
      <c r="D598" s="32"/>
      <c r="E598" s="64"/>
      <c r="F598" s="64"/>
      <c r="G598" s="32"/>
      <c r="H598" s="64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2.75" customHeight="1" x14ac:dyDescent="0.2">
      <c r="A599" s="32"/>
      <c r="B599" s="32"/>
      <c r="C599" s="57"/>
      <c r="D599" s="32"/>
      <c r="E599" s="64"/>
      <c r="F599" s="64"/>
      <c r="G599" s="32"/>
      <c r="H599" s="64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2.75" customHeight="1" x14ac:dyDescent="0.2">
      <c r="A600" s="32"/>
      <c r="B600" s="32"/>
      <c r="C600" s="57"/>
      <c r="D600" s="32"/>
      <c r="E600" s="64"/>
      <c r="F600" s="64"/>
      <c r="G600" s="32"/>
      <c r="H600" s="64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2.75" customHeight="1" x14ac:dyDescent="0.2">
      <c r="A601" s="32"/>
      <c r="B601" s="32"/>
      <c r="C601" s="57"/>
      <c r="D601" s="32"/>
      <c r="E601" s="64"/>
      <c r="F601" s="64"/>
      <c r="G601" s="32"/>
      <c r="H601" s="64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2.75" customHeight="1" x14ac:dyDescent="0.2">
      <c r="A602" s="32"/>
      <c r="B602" s="32"/>
      <c r="C602" s="57"/>
      <c r="D602" s="32"/>
      <c r="E602" s="64"/>
      <c r="F602" s="64"/>
      <c r="G602" s="32"/>
      <c r="H602" s="64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2.75" customHeight="1" x14ac:dyDescent="0.2">
      <c r="A603" s="32"/>
      <c r="B603" s="32"/>
      <c r="C603" s="57"/>
      <c r="D603" s="32"/>
      <c r="E603" s="64"/>
      <c r="F603" s="64"/>
      <c r="G603" s="32"/>
      <c r="H603" s="64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2.75" customHeight="1" x14ac:dyDescent="0.2">
      <c r="A604" s="32"/>
      <c r="B604" s="32"/>
      <c r="C604" s="57"/>
      <c r="D604" s="32"/>
      <c r="E604" s="64"/>
      <c r="F604" s="64"/>
      <c r="G604" s="32"/>
      <c r="H604" s="64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2.75" customHeight="1" x14ac:dyDescent="0.2">
      <c r="A605" s="32"/>
      <c r="B605" s="32"/>
      <c r="C605" s="57"/>
      <c r="D605" s="32"/>
      <c r="E605" s="64"/>
      <c r="F605" s="64"/>
      <c r="G605" s="32"/>
      <c r="H605" s="64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2.75" customHeight="1" x14ac:dyDescent="0.2">
      <c r="A606" s="32"/>
      <c r="B606" s="32"/>
      <c r="C606" s="57"/>
      <c r="D606" s="32"/>
      <c r="E606" s="64"/>
      <c r="F606" s="64"/>
      <c r="G606" s="32"/>
      <c r="H606" s="64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2.75" customHeight="1" x14ac:dyDescent="0.2">
      <c r="A607" s="32"/>
      <c r="B607" s="32"/>
      <c r="C607" s="57"/>
      <c r="D607" s="32"/>
      <c r="E607" s="64"/>
      <c r="F607" s="64"/>
      <c r="G607" s="32"/>
      <c r="H607" s="64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2.75" customHeight="1" x14ac:dyDescent="0.2">
      <c r="A608" s="32"/>
      <c r="B608" s="32"/>
      <c r="C608" s="57"/>
      <c r="D608" s="32"/>
      <c r="E608" s="64"/>
      <c r="F608" s="64"/>
      <c r="G608" s="32"/>
      <c r="H608" s="64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2.75" customHeight="1" x14ac:dyDescent="0.2">
      <c r="A609" s="32"/>
      <c r="B609" s="32"/>
      <c r="C609" s="57"/>
      <c r="D609" s="32"/>
      <c r="E609" s="64"/>
      <c r="F609" s="64"/>
      <c r="G609" s="32"/>
      <c r="H609" s="64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2.75" customHeight="1" x14ac:dyDescent="0.2">
      <c r="A610" s="32"/>
      <c r="B610" s="32"/>
      <c r="C610" s="57"/>
      <c r="D610" s="32"/>
      <c r="E610" s="64"/>
      <c r="F610" s="64"/>
      <c r="G610" s="32"/>
      <c r="H610" s="64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2.75" customHeight="1" x14ac:dyDescent="0.2">
      <c r="A611" s="32"/>
      <c r="B611" s="32"/>
      <c r="C611" s="57"/>
      <c r="D611" s="32"/>
      <c r="E611" s="64"/>
      <c r="F611" s="64"/>
      <c r="G611" s="32"/>
      <c r="H611" s="64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2.75" customHeight="1" x14ac:dyDescent="0.2">
      <c r="A612" s="32"/>
      <c r="B612" s="32"/>
      <c r="C612" s="57"/>
      <c r="D612" s="32"/>
      <c r="E612" s="64"/>
      <c r="F612" s="64"/>
      <c r="G612" s="32"/>
      <c r="H612" s="64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2.75" customHeight="1" x14ac:dyDescent="0.2">
      <c r="A613" s="32"/>
      <c r="B613" s="32"/>
      <c r="C613" s="57"/>
      <c r="D613" s="32"/>
      <c r="E613" s="64"/>
      <c r="F613" s="64"/>
      <c r="G613" s="32"/>
      <c r="H613" s="64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2.75" customHeight="1" x14ac:dyDescent="0.2">
      <c r="A614" s="32"/>
      <c r="B614" s="32"/>
      <c r="C614" s="57"/>
      <c r="D614" s="32"/>
      <c r="E614" s="64"/>
      <c r="F614" s="64"/>
      <c r="G614" s="32"/>
      <c r="H614" s="64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2.75" customHeight="1" x14ac:dyDescent="0.2">
      <c r="A615" s="32"/>
      <c r="B615" s="32"/>
      <c r="C615" s="57"/>
      <c r="D615" s="32"/>
      <c r="E615" s="64"/>
      <c r="F615" s="64"/>
      <c r="G615" s="32"/>
      <c r="H615" s="64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2.75" customHeight="1" x14ac:dyDescent="0.2">
      <c r="A616" s="32"/>
      <c r="B616" s="32"/>
      <c r="C616" s="57"/>
      <c r="D616" s="32"/>
      <c r="E616" s="64"/>
      <c r="F616" s="64"/>
      <c r="G616" s="32"/>
      <c r="H616" s="64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2.75" customHeight="1" x14ac:dyDescent="0.2">
      <c r="A617" s="32"/>
      <c r="B617" s="32"/>
      <c r="C617" s="57"/>
      <c r="D617" s="32"/>
      <c r="E617" s="64"/>
      <c r="F617" s="64"/>
      <c r="G617" s="32"/>
      <c r="H617" s="64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2.75" customHeight="1" x14ac:dyDescent="0.2">
      <c r="A618" s="32"/>
      <c r="B618" s="32"/>
      <c r="C618" s="57"/>
      <c r="D618" s="32"/>
      <c r="E618" s="64"/>
      <c r="F618" s="64"/>
      <c r="G618" s="32"/>
      <c r="H618" s="64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2.75" customHeight="1" x14ac:dyDescent="0.2">
      <c r="A619" s="32"/>
      <c r="B619" s="32"/>
      <c r="C619" s="57"/>
      <c r="D619" s="32"/>
      <c r="E619" s="64"/>
      <c r="F619" s="64"/>
      <c r="G619" s="32"/>
      <c r="H619" s="64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2.75" customHeight="1" x14ac:dyDescent="0.2">
      <c r="A620" s="32"/>
      <c r="B620" s="32"/>
      <c r="C620" s="57"/>
      <c r="D620" s="32"/>
      <c r="E620" s="64"/>
      <c r="F620" s="64"/>
      <c r="G620" s="32"/>
      <c r="H620" s="64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2.75" customHeight="1" x14ac:dyDescent="0.2">
      <c r="A621" s="32"/>
      <c r="B621" s="32"/>
      <c r="C621" s="57"/>
      <c r="D621" s="32"/>
      <c r="E621" s="64"/>
      <c r="F621" s="64"/>
      <c r="G621" s="32"/>
      <c r="H621" s="64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2.75" customHeight="1" x14ac:dyDescent="0.2">
      <c r="A622" s="32"/>
      <c r="B622" s="32"/>
      <c r="C622" s="57"/>
      <c r="D622" s="32"/>
      <c r="E622" s="64"/>
      <c r="F622" s="64"/>
      <c r="G622" s="32"/>
      <c r="H622" s="64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2.75" customHeight="1" x14ac:dyDescent="0.2">
      <c r="A623" s="32"/>
      <c r="B623" s="32"/>
      <c r="C623" s="57"/>
      <c r="D623" s="32"/>
      <c r="E623" s="64"/>
      <c r="F623" s="64"/>
      <c r="G623" s="32"/>
      <c r="H623" s="64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2.75" customHeight="1" x14ac:dyDescent="0.2">
      <c r="A624" s="32"/>
      <c r="B624" s="32"/>
      <c r="C624" s="57"/>
      <c r="D624" s="32"/>
      <c r="E624" s="64"/>
      <c r="F624" s="64"/>
      <c r="G624" s="32"/>
      <c r="H624" s="64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2.75" customHeight="1" x14ac:dyDescent="0.2">
      <c r="A625" s="32"/>
      <c r="B625" s="32"/>
      <c r="C625" s="57"/>
      <c r="D625" s="32"/>
      <c r="E625" s="64"/>
      <c r="F625" s="64"/>
      <c r="G625" s="32"/>
      <c r="H625" s="64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2.75" customHeight="1" x14ac:dyDescent="0.2">
      <c r="A626" s="32"/>
      <c r="B626" s="32"/>
      <c r="C626" s="57"/>
      <c r="D626" s="32"/>
      <c r="E626" s="64"/>
      <c r="F626" s="64"/>
      <c r="G626" s="32"/>
      <c r="H626" s="64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2.75" customHeight="1" x14ac:dyDescent="0.2">
      <c r="A627" s="32"/>
      <c r="B627" s="32"/>
      <c r="C627" s="57"/>
      <c r="D627" s="32"/>
      <c r="E627" s="64"/>
      <c r="F627" s="64"/>
      <c r="G627" s="32"/>
      <c r="H627" s="64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2.75" customHeight="1" x14ac:dyDescent="0.2">
      <c r="A628" s="32"/>
      <c r="B628" s="32"/>
      <c r="C628" s="57"/>
      <c r="D628" s="32"/>
      <c r="E628" s="64"/>
      <c r="F628" s="64"/>
      <c r="G628" s="32"/>
      <c r="H628" s="64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2.75" customHeight="1" x14ac:dyDescent="0.2">
      <c r="A629" s="32"/>
      <c r="B629" s="32"/>
      <c r="C629" s="57"/>
      <c r="D629" s="32"/>
      <c r="E629" s="64"/>
      <c r="F629" s="64"/>
      <c r="G629" s="32"/>
      <c r="H629" s="64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2.75" customHeight="1" x14ac:dyDescent="0.2">
      <c r="A630" s="32"/>
      <c r="B630" s="32"/>
      <c r="C630" s="57"/>
      <c r="D630" s="32"/>
      <c r="E630" s="64"/>
      <c r="F630" s="64"/>
      <c r="G630" s="32"/>
      <c r="H630" s="64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2.75" customHeight="1" x14ac:dyDescent="0.2">
      <c r="A631" s="32"/>
      <c r="B631" s="32"/>
      <c r="C631" s="57"/>
      <c r="D631" s="32"/>
      <c r="E631" s="64"/>
      <c r="F631" s="64"/>
      <c r="G631" s="32"/>
      <c r="H631" s="64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2.75" customHeight="1" x14ac:dyDescent="0.2">
      <c r="A632" s="32"/>
      <c r="B632" s="32"/>
      <c r="C632" s="57"/>
      <c r="D632" s="32"/>
      <c r="E632" s="64"/>
      <c r="F632" s="64"/>
      <c r="G632" s="32"/>
      <c r="H632" s="64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2.75" customHeight="1" x14ac:dyDescent="0.2">
      <c r="A633" s="32"/>
      <c r="B633" s="32"/>
      <c r="C633" s="57"/>
      <c r="D633" s="32"/>
      <c r="E633" s="64"/>
      <c r="F633" s="64"/>
      <c r="G633" s="32"/>
      <c r="H633" s="64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2.75" customHeight="1" x14ac:dyDescent="0.2">
      <c r="A634" s="32"/>
      <c r="B634" s="32"/>
      <c r="C634" s="57"/>
      <c r="D634" s="32"/>
      <c r="E634" s="64"/>
      <c r="F634" s="64"/>
      <c r="G634" s="32"/>
      <c r="H634" s="64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2.75" customHeight="1" x14ac:dyDescent="0.2">
      <c r="A635" s="32"/>
      <c r="B635" s="32"/>
      <c r="C635" s="57"/>
      <c r="D635" s="32"/>
      <c r="E635" s="64"/>
      <c r="F635" s="64"/>
      <c r="G635" s="32"/>
      <c r="H635" s="64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2.75" customHeight="1" x14ac:dyDescent="0.2">
      <c r="A636" s="32"/>
      <c r="B636" s="32"/>
      <c r="C636" s="57"/>
      <c r="D636" s="32"/>
      <c r="E636" s="64"/>
      <c r="F636" s="64"/>
      <c r="G636" s="32"/>
      <c r="H636" s="64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2.75" customHeight="1" x14ac:dyDescent="0.2">
      <c r="A637" s="32"/>
      <c r="B637" s="32"/>
      <c r="C637" s="57"/>
      <c r="D637" s="32"/>
      <c r="E637" s="64"/>
      <c r="F637" s="64"/>
      <c r="G637" s="32"/>
      <c r="H637" s="64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2.75" customHeight="1" x14ac:dyDescent="0.2">
      <c r="A638" s="32"/>
      <c r="B638" s="32"/>
      <c r="C638" s="57"/>
      <c r="D638" s="32"/>
      <c r="E638" s="64"/>
      <c r="F638" s="64"/>
      <c r="G638" s="32"/>
      <c r="H638" s="64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2.75" customHeight="1" x14ac:dyDescent="0.2">
      <c r="A639" s="32"/>
      <c r="B639" s="32"/>
      <c r="C639" s="57"/>
      <c r="D639" s="32"/>
      <c r="E639" s="64"/>
      <c r="F639" s="64"/>
      <c r="G639" s="32"/>
      <c r="H639" s="64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2.75" customHeight="1" x14ac:dyDescent="0.2">
      <c r="A640" s="32"/>
      <c r="B640" s="32"/>
      <c r="C640" s="57"/>
      <c r="D640" s="32"/>
      <c r="E640" s="64"/>
      <c r="F640" s="64"/>
      <c r="G640" s="32"/>
      <c r="H640" s="64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2.75" customHeight="1" x14ac:dyDescent="0.2">
      <c r="A641" s="32"/>
      <c r="B641" s="32"/>
      <c r="C641" s="57"/>
      <c r="D641" s="32"/>
      <c r="E641" s="64"/>
      <c r="F641" s="64"/>
      <c r="G641" s="32"/>
      <c r="H641" s="64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2.75" customHeight="1" x14ac:dyDescent="0.2">
      <c r="A642" s="32"/>
      <c r="B642" s="32"/>
      <c r="C642" s="57"/>
      <c r="D642" s="32"/>
      <c r="E642" s="64"/>
      <c r="F642" s="64"/>
      <c r="G642" s="32"/>
      <c r="H642" s="64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2.75" customHeight="1" x14ac:dyDescent="0.2">
      <c r="A643" s="32"/>
      <c r="B643" s="32"/>
      <c r="C643" s="57"/>
      <c r="D643" s="32"/>
      <c r="E643" s="64"/>
      <c r="F643" s="64"/>
      <c r="G643" s="32"/>
      <c r="H643" s="64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2.75" customHeight="1" x14ac:dyDescent="0.2">
      <c r="A644" s="32"/>
      <c r="B644" s="32"/>
      <c r="C644" s="57"/>
      <c r="D644" s="32"/>
      <c r="E644" s="64"/>
      <c r="F644" s="64"/>
      <c r="G644" s="32"/>
      <c r="H644" s="64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2.75" customHeight="1" x14ac:dyDescent="0.2">
      <c r="A645" s="32"/>
      <c r="B645" s="32"/>
      <c r="C645" s="57"/>
      <c r="D645" s="32"/>
      <c r="E645" s="64"/>
      <c r="F645" s="64"/>
      <c r="G645" s="32"/>
      <c r="H645" s="64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2.75" customHeight="1" x14ac:dyDescent="0.2">
      <c r="A646" s="32"/>
      <c r="B646" s="32"/>
      <c r="C646" s="57"/>
      <c r="D646" s="32"/>
      <c r="E646" s="64"/>
      <c r="F646" s="64"/>
      <c r="G646" s="32"/>
      <c r="H646" s="64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2.75" customHeight="1" x14ac:dyDescent="0.2">
      <c r="A647" s="32"/>
      <c r="B647" s="32"/>
      <c r="C647" s="57"/>
      <c r="D647" s="32"/>
      <c r="E647" s="64"/>
      <c r="F647" s="64"/>
      <c r="G647" s="32"/>
      <c r="H647" s="64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2.75" customHeight="1" x14ac:dyDescent="0.2">
      <c r="A648" s="32"/>
      <c r="B648" s="32"/>
      <c r="C648" s="57"/>
      <c r="D648" s="32"/>
      <c r="E648" s="64"/>
      <c r="F648" s="64"/>
      <c r="G648" s="32"/>
      <c r="H648" s="64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2.75" customHeight="1" x14ac:dyDescent="0.2">
      <c r="A649" s="32"/>
      <c r="B649" s="32"/>
      <c r="C649" s="57"/>
      <c r="D649" s="32"/>
      <c r="E649" s="64"/>
      <c r="F649" s="64"/>
      <c r="G649" s="32"/>
      <c r="H649" s="64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2.75" customHeight="1" x14ac:dyDescent="0.2">
      <c r="A650" s="32"/>
      <c r="B650" s="32"/>
      <c r="C650" s="57"/>
      <c r="D650" s="32"/>
      <c r="E650" s="64"/>
      <c r="F650" s="64"/>
      <c r="G650" s="32"/>
      <c r="H650" s="64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2.75" customHeight="1" x14ac:dyDescent="0.2">
      <c r="A651" s="32"/>
      <c r="B651" s="32"/>
      <c r="C651" s="57"/>
      <c r="D651" s="32"/>
      <c r="E651" s="64"/>
      <c r="F651" s="64"/>
      <c r="G651" s="32"/>
      <c r="H651" s="64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2.75" customHeight="1" x14ac:dyDescent="0.2">
      <c r="A652" s="32"/>
      <c r="B652" s="32"/>
      <c r="C652" s="57"/>
      <c r="D652" s="32"/>
      <c r="E652" s="64"/>
      <c r="F652" s="64"/>
      <c r="G652" s="32"/>
      <c r="H652" s="64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2.75" customHeight="1" x14ac:dyDescent="0.2">
      <c r="A653" s="32"/>
      <c r="B653" s="32"/>
      <c r="C653" s="57"/>
      <c r="D653" s="32"/>
      <c r="E653" s="64"/>
      <c r="F653" s="64"/>
      <c r="G653" s="32"/>
      <c r="H653" s="64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2.75" customHeight="1" x14ac:dyDescent="0.2">
      <c r="A654" s="32"/>
      <c r="B654" s="32"/>
      <c r="C654" s="57"/>
      <c r="D654" s="32"/>
      <c r="E654" s="64"/>
      <c r="F654" s="64"/>
      <c r="G654" s="32"/>
      <c r="H654" s="64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2.75" customHeight="1" x14ac:dyDescent="0.2">
      <c r="A655" s="32"/>
      <c r="B655" s="32"/>
      <c r="C655" s="57"/>
      <c r="D655" s="32"/>
      <c r="E655" s="64"/>
      <c r="F655" s="64"/>
      <c r="G655" s="32"/>
      <c r="H655" s="64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2.75" customHeight="1" x14ac:dyDescent="0.2">
      <c r="A656" s="32"/>
      <c r="B656" s="32"/>
      <c r="C656" s="57"/>
      <c r="D656" s="32"/>
      <c r="E656" s="64"/>
      <c r="F656" s="64"/>
      <c r="G656" s="32"/>
      <c r="H656" s="64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2.75" customHeight="1" x14ac:dyDescent="0.2">
      <c r="A657" s="32"/>
      <c r="B657" s="32"/>
      <c r="C657" s="57"/>
      <c r="D657" s="32"/>
      <c r="E657" s="64"/>
      <c r="F657" s="64"/>
      <c r="G657" s="32"/>
      <c r="H657" s="64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2.75" customHeight="1" x14ac:dyDescent="0.2">
      <c r="A658" s="32"/>
      <c r="B658" s="32"/>
      <c r="C658" s="57"/>
      <c r="D658" s="32"/>
      <c r="E658" s="64"/>
      <c r="F658" s="64"/>
      <c r="G658" s="32"/>
      <c r="H658" s="64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2.75" customHeight="1" x14ac:dyDescent="0.2">
      <c r="A659" s="32"/>
      <c r="B659" s="32"/>
      <c r="C659" s="57"/>
      <c r="D659" s="32"/>
      <c r="E659" s="64"/>
      <c r="F659" s="64"/>
      <c r="G659" s="32"/>
      <c r="H659" s="64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2.75" customHeight="1" x14ac:dyDescent="0.2">
      <c r="A660" s="32"/>
      <c r="B660" s="32"/>
      <c r="C660" s="57"/>
      <c r="D660" s="32"/>
      <c r="E660" s="64"/>
      <c r="F660" s="64"/>
      <c r="G660" s="32"/>
      <c r="H660" s="64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2.75" customHeight="1" x14ac:dyDescent="0.2">
      <c r="A661" s="32"/>
      <c r="B661" s="32"/>
      <c r="C661" s="57"/>
      <c r="D661" s="32"/>
      <c r="E661" s="64"/>
      <c r="F661" s="64"/>
      <c r="G661" s="32"/>
      <c r="H661" s="64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2.75" customHeight="1" x14ac:dyDescent="0.2">
      <c r="A662" s="32"/>
      <c r="B662" s="32"/>
      <c r="C662" s="57"/>
      <c r="D662" s="32"/>
      <c r="E662" s="64"/>
      <c r="F662" s="64"/>
      <c r="G662" s="32"/>
      <c r="H662" s="64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2.75" customHeight="1" x14ac:dyDescent="0.2">
      <c r="A663" s="32"/>
      <c r="B663" s="32"/>
      <c r="C663" s="57"/>
      <c r="D663" s="32"/>
      <c r="E663" s="64"/>
      <c r="F663" s="64"/>
      <c r="G663" s="32"/>
      <c r="H663" s="64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2.75" customHeight="1" x14ac:dyDescent="0.2">
      <c r="A664" s="32"/>
      <c r="B664" s="32"/>
      <c r="C664" s="57"/>
      <c r="D664" s="32"/>
      <c r="E664" s="64"/>
      <c r="F664" s="64"/>
      <c r="G664" s="32"/>
      <c r="H664" s="64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2.75" customHeight="1" x14ac:dyDescent="0.2">
      <c r="A665" s="32"/>
      <c r="B665" s="32"/>
      <c r="C665" s="57"/>
      <c r="D665" s="32"/>
      <c r="E665" s="64"/>
      <c r="F665" s="64"/>
      <c r="G665" s="32"/>
      <c r="H665" s="64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2.75" customHeight="1" x14ac:dyDescent="0.2">
      <c r="A666" s="32"/>
      <c r="B666" s="32"/>
      <c r="C666" s="57"/>
      <c r="D666" s="32"/>
      <c r="E666" s="64"/>
      <c r="F666" s="64"/>
      <c r="G666" s="32"/>
      <c r="H666" s="64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2.75" customHeight="1" x14ac:dyDescent="0.2">
      <c r="A667" s="32"/>
      <c r="B667" s="32"/>
      <c r="C667" s="57"/>
      <c r="D667" s="32"/>
      <c r="E667" s="64"/>
      <c r="F667" s="64"/>
      <c r="G667" s="32"/>
      <c r="H667" s="64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2.75" customHeight="1" x14ac:dyDescent="0.2">
      <c r="A668" s="32"/>
      <c r="B668" s="32"/>
      <c r="C668" s="57"/>
      <c r="D668" s="32"/>
      <c r="E668" s="64"/>
      <c r="F668" s="64"/>
      <c r="G668" s="32"/>
      <c r="H668" s="64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2.75" customHeight="1" x14ac:dyDescent="0.2">
      <c r="A669" s="32"/>
      <c r="B669" s="32"/>
      <c r="C669" s="57"/>
      <c r="D669" s="32"/>
      <c r="E669" s="64"/>
      <c r="F669" s="64"/>
      <c r="G669" s="32"/>
      <c r="H669" s="64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2.75" customHeight="1" x14ac:dyDescent="0.2">
      <c r="A670" s="32"/>
      <c r="B670" s="32"/>
      <c r="C670" s="57"/>
      <c r="D670" s="32"/>
      <c r="E670" s="64"/>
      <c r="F670" s="64"/>
      <c r="G670" s="32"/>
      <c r="H670" s="64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2.75" customHeight="1" x14ac:dyDescent="0.2">
      <c r="A671" s="32"/>
      <c r="B671" s="32"/>
      <c r="C671" s="57"/>
      <c r="D671" s="32"/>
      <c r="E671" s="64"/>
      <c r="F671" s="64"/>
      <c r="G671" s="32"/>
      <c r="H671" s="64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2.75" customHeight="1" x14ac:dyDescent="0.2">
      <c r="A672" s="32"/>
      <c r="B672" s="32"/>
      <c r="C672" s="57"/>
      <c r="D672" s="32"/>
      <c r="E672" s="64"/>
      <c r="F672" s="64"/>
      <c r="G672" s="32"/>
      <c r="H672" s="64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2.75" customHeight="1" x14ac:dyDescent="0.2">
      <c r="A673" s="32"/>
      <c r="B673" s="32"/>
      <c r="C673" s="57"/>
      <c r="D673" s="32"/>
      <c r="E673" s="64"/>
      <c r="F673" s="64"/>
      <c r="G673" s="32"/>
      <c r="H673" s="64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2.75" customHeight="1" x14ac:dyDescent="0.2">
      <c r="A674" s="32"/>
      <c r="B674" s="32"/>
      <c r="C674" s="57"/>
      <c r="D674" s="32"/>
      <c r="E674" s="64"/>
      <c r="F674" s="64"/>
      <c r="G674" s="32"/>
      <c r="H674" s="64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2.75" customHeight="1" x14ac:dyDescent="0.2">
      <c r="A675" s="32"/>
      <c r="B675" s="32"/>
      <c r="C675" s="57"/>
      <c r="D675" s="32"/>
      <c r="E675" s="64"/>
      <c r="F675" s="64"/>
      <c r="G675" s="32"/>
      <c r="H675" s="64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2.75" customHeight="1" x14ac:dyDescent="0.2">
      <c r="A676" s="32"/>
      <c r="B676" s="32"/>
      <c r="C676" s="57"/>
      <c r="D676" s="32"/>
      <c r="E676" s="64"/>
      <c r="F676" s="64"/>
      <c r="G676" s="32"/>
      <c r="H676" s="64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2.75" customHeight="1" x14ac:dyDescent="0.2">
      <c r="A677" s="32"/>
      <c r="B677" s="32"/>
      <c r="C677" s="57"/>
      <c r="D677" s="32"/>
      <c r="E677" s="64"/>
      <c r="F677" s="64"/>
      <c r="G677" s="32"/>
      <c r="H677" s="64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2.75" customHeight="1" x14ac:dyDescent="0.2">
      <c r="A678" s="32"/>
      <c r="B678" s="32"/>
      <c r="C678" s="57"/>
      <c r="D678" s="32"/>
      <c r="E678" s="64"/>
      <c r="F678" s="64"/>
      <c r="G678" s="32"/>
      <c r="H678" s="64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2.75" customHeight="1" x14ac:dyDescent="0.2">
      <c r="A679" s="32"/>
      <c r="B679" s="32"/>
      <c r="C679" s="57"/>
      <c r="D679" s="32"/>
      <c r="E679" s="64"/>
      <c r="F679" s="64"/>
      <c r="G679" s="32"/>
      <c r="H679" s="64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2.75" customHeight="1" x14ac:dyDescent="0.2">
      <c r="A680" s="32"/>
      <c r="B680" s="32"/>
      <c r="C680" s="57"/>
      <c r="D680" s="32"/>
      <c r="E680" s="64"/>
      <c r="F680" s="64"/>
      <c r="G680" s="32"/>
      <c r="H680" s="64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2.75" customHeight="1" x14ac:dyDescent="0.2">
      <c r="A681" s="32"/>
      <c r="B681" s="32"/>
      <c r="C681" s="57"/>
      <c r="D681" s="32"/>
      <c r="E681" s="64"/>
      <c r="F681" s="64"/>
      <c r="G681" s="32"/>
      <c r="H681" s="64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2.75" customHeight="1" x14ac:dyDescent="0.2">
      <c r="A682" s="32"/>
      <c r="B682" s="32"/>
      <c r="C682" s="57"/>
      <c r="D682" s="32"/>
      <c r="E682" s="64"/>
      <c r="F682" s="64"/>
      <c r="G682" s="32"/>
      <c r="H682" s="64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2.75" customHeight="1" x14ac:dyDescent="0.2">
      <c r="A683" s="32"/>
      <c r="B683" s="32"/>
      <c r="C683" s="57"/>
      <c r="D683" s="32"/>
      <c r="E683" s="64"/>
      <c r="F683" s="64"/>
      <c r="G683" s="32"/>
      <c r="H683" s="64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2.75" customHeight="1" x14ac:dyDescent="0.2">
      <c r="A684" s="32"/>
      <c r="B684" s="32"/>
      <c r="C684" s="57"/>
      <c r="D684" s="32"/>
      <c r="E684" s="64"/>
      <c r="F684" s="64"/>
      <c r="G684" s="32"/>
      <c r="H684" s="64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2.75" customHeight="1" x14ac:dyDescent="0.2">
      <c r="A685" s="32"/>
      <c r="B685" s="32"/>
      <c r="C685" s="57"/>
      <c r="D685" s="32"/>
      <c r="E685" s="64"/>
      <c r="F685" s="64"/>
      <c r="G685" s="32"/>
      <c r="H685" s="64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2.75" customHeight="1" x14ac:dyDescent="0.2">
      <c r="A686" s="32"/>
      <c r="B686" s="32"/>
      <c r="C686" s="57"/>
      <c r="D686" s="32"/>
      <c r="E686" s="64"/>
      <c r="F686" s="64"/>
      <c r="G686" s="32"/>
      <c r="H686" s="64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2.75" customHeight="1" x14ac:dyDescent="0.2">
      <c r="A687" s="32"/>
      <c r="B687" s="32"/>
      <c r="C687" s="57"/>
      <c r="D687" s="32"/>
      <c r="E687" s="64"/>
      <c r="F687" s="64"/>
      <c r="G687" s="32"/>
      <c r="H687" s="64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2.75" customHeight="1" x14ac:dyDescent="0.2">
      <c r="A688" s="32"/>
      <c r="B688" s="32"/>
      <c r="C688" s="57"/>
      <c r="D688" s="32"/>
      <c r="E688" s="64"/>
      <c r="F688" s="64"/>
      <c r="G688" s="32"/>
      <c r="H688" s="64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2.75" customHeight="1" x14ac:dyDescent="0.2">
      <c r="A689" s="32"/>
      <c r="B689" s="32"/>
      <c r="C689" s="57"/>
      <c r="D689" s="32"/>
      <c r="E689" s="64"/>
      <c r="F689" s="64"/>
      <c r="G689" s="32"/>
      <c r="H689" s="64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2.75" customHeight="1" x14ac:dyDescent="0.2">
      <c r="A690" s="32"/>
      <c r="B690" s="32"/>
      <c r="C690" s="57"/>
      <c r="D690" s="32"/>
      <c r="E690" s="64"/>
      <c r="F690" s="64"/>
      <c r="G690" s="32"/>
      <c r="H690" s="64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2.75" customHeight="1" x14ac:dyDescent="0.2">
      <c r="A691" s="32"/>
      <c r="B691" s="32"/>
      <c r="C691" s="57"/>
      <c r="D691" s="32"/>
      <c r="E691" s="64"/>
      <c r="F691" s="64"/>
      <c r="G691" s="32"/>
      <c r="H691" s="64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2.75" customHeight="1" x14ac:dyDescent="0.2">
      <c r="A692" s="32"/>
      <c r="B692" s="32"/>
      <c r="C692" s="57"/>
      <c r="D692" s="32"/>
      <c r="E692" s="64"/>
      <c r="F692" s="64"/>
      <c r="G692" s="32"/>
      <c r="H692" s="64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2.75" customHeight="1" x14ac:dyDescent="0.2">
      <c r="A693" s="32"/>
      <c r="B693" s="32"/>
      <c r="C693" s="57"/>
      <c r="D693" s="32"/>
      <c r="E693" s="64"/>
      <c r="F693" s="64"/>
      <c r="G693" s="32"/>
      <c r="H693" s="64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2.75" customHeight="1" x14ac:dyDescent="0.2">
      <c r="A694" s="32"/>
      <c r="B694" s="32"/>
      <c r="C694" s="57"/>
      <c r="D694" s="32"/>
      <c r="E694" s="64"/>
      <c r="F694" s="64"/>
      <c r="G694" s="32"/>
      <c r="H694" s="64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2.75" customHeight="1" x14ac:dyDescent="0.2">
      <c r="A695" s="32"/>
      <c r="B695" s="32"/>
      <c r="C695" s="57"/>
      <c r="D695" s="32"/>
      <c r="E695" s="64"/>
      <c r="F695" s="64"/>
      <c r="G695" s="32"/>
      <c r="H695" s="64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2.75" customHeight="1" x14ac:dyDescent="0.2">
      <c r="A696" s="32"/>
      <c r="B696" s="32"/>
      <c r="C696" s="57"/>
      <c r="D696" s="32"/>
      <c r="E696" s="64"/>
      <c r="F696" s="64"/>
      <c r="G696" s="32"/>
      <c r="H696" s="64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2.75" customHeight="1" x14ac:dyDescent="0.2">
      <c r="A697" s="32"/>
      <c r="B697" s="32"/>
      <c r="C697" s="57"/>
      <c r="D697" s="32"/>
      <c r="E697" s="64"/>
      <c r="F697" s="64"/>
      <c r="G697" s="32"/>
      <c r="H697" s="64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2.75" customHeight="1" x14ac:dyDescent="0.2">
      <c r="A698" s="32"/>
      <c r="B698" s="32"/>
      <c r="C698" s="57"/>
      <c r="D698" s="32"/>
      <c r="E698" s="64"/>
      <c r="F698" s="64"/>
      <c r="G698" s="32"/>
      <c r="H698" s="64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2.75" customHeight="1" x14ac:dyDescent="0.2">
      <c r="A699" s="32"/>
      <c r="B699" s="32"/>
      <c r="C699" s="57"/>
      <c r="D699" s="32"/>
      <c r="E699" s="64"/>
      <c r="F699" s="64"/>
      <c r="G699" s="32"/>
      <c r="H699" s="64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2.75" customHeight="1" x14ac:dyDescent="0.2">
      <c r="A700" s="32"/>
      <c r="B700" s="32"/>
      <c r="C700" s="57"/>
      <c r="D700" s="32"/>
      <c r="E700" s="64"/>
      <c r="F700" s="64"/>
      <c r="G700" s="32"/>
      <c r="H700" s="64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2.75" customHeight="1" x14ac:dyDescent="0.2">
      <c r="A701" s="32"/>
      <c r="B701" s="32"/>
      <c r="C701" s="57"/>
      <c r="D701" s="32"/>
      <c r="E701" s="64"/>
      <c r="F701" s="64"/>
      <c r="G701" s="32"/>
      <c r="H701" s="64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2.75" customHeight="1" x14ac:dyDescent="0.2">
      <c r="A702" s="32"/>
      <c r="B702" s="32"/>
      <c r="C702" s="57"/>
      <c r="D702" s="32"/>
      <c r="E702" s="64"/>
      <c r="F702" s="64"/>
      <c r="G702" s="32"/>
      <c r="H702" s="64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2.75" customHeight="1" x14ac:dyDescent="0.2">
      <c r="A703" s="32"/>
      <c r="B703" s="32"/>
      <c r="C703" s="57"/>
      <c r="D703" s="32"/>
      <c r="E703" s="64"/>
      <c r="F703" s="64"/>
      <c r="G703" s="32"/>
      <c r="H703" s="64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2.75" customHeight="1" x14ac:dyDescent="0.2">
      <c r="A704" s="32"/>
      <c r="B704" s="32"/>
      <c r="C704" s="57"/>
      <c r="D704" s="32"/>
      <c r="E704" s="64"/>
      <c r="F704" s="64"/>
      <c r="G704" s="32"/>
      <c r="H704" s="64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2.75" customHeight="1" x14ac:dyDescent="0.2">
      <c r="A705" s="32"/>
      <c r="B705" s="32"/>
      <c r="C705" s="57"/>
      <c r="D705" s="32"/>
      <c r="E705" s="64"/>
      <c r="F705" s="64"/>
      <c r="G705" s="32"/>
      <c r="H705" s="64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2.75" customHeight="1" x14ac:dyDescent="0.2">
      <c r="A706" s="32"/>
      <c r="B706" s="32"/>
      <c r="C706" s="57"/>
      <c r="D706" s="32"/>
      <c r="E706" s="64"/>
      <c r="F706" s="64"/>
      <c r="G706" s="32"/>
      <c r="H706" s="64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2.75" customHeight="1" x14ac:dyDescent="0.2">
      <c r="A707" s="32"/>
      <c r="B707" s="32"/>
      <c r="C707" s="57"/>
      <c r="D707" s="32"/>
      <c r="E707" s="64"/>
      <c r="F707" s="64"/>
      <c r="G707" s="32"/>
      <c r="H707" s="64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2.75" customHeight="1" x14ac:dyDescent="0.2">
      <c r="A708" s="32"/>
      <c r="B708" s="32"/>
      <c r="C708" s="57"/>
      <c r="D708" s="32"/>
      <c r="E708" s="64"/>
      <c r="F708" s="64"/>
      <c r="G708" s="32"/>
      <c r="H708" s="64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2.75" customHeight="1" x14ac:dyDescent="0.2">
      <c r="A709" s="32"/>
      <c r="B709" s="32"/>
      <c r="C709" s="57"/>
      <c r="D709" s="32"/>
      <c r="E709" s="64"/>
      <c r="F709" s="64"/>
      <c r="G709" s="32"/>
      <c r="H709" s="64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2.75" customHeight="1" x14ac:dyDescent="0.2">
      <c r="A710" s="32"/>
      <c r="B710" s="32"/>
      <c r="C710" s="57"/>
      <c r="D710" s="32"/>
      <c r="E710" s="64"/>
      <c r="F710" s="64"/>
      <c r="G710" s="32"/>
      <c r="H710" s="64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2.75" customHeight="1" x14ac:dyDescent="0.2">
      <c r="A711" s="32"/>
      <c r="B711" s="32"/>
      <c r="C711" s="57"/>
      <c r="D711" s="32"/>
      <c r="E711" s="64"/>
      <c r="F711" s="64"/>
      <c r="G711" s="32"/>
      <c r="H711" s="64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2.75" customHeight="1" x14ac:dyDescent="0.2">
      <c r="A712" s="32"/>
      <c r="B712" s="32"/>
      <c r="C712" s="57"/>
      <c r="D712" s="32"/>
      <c r="E712" s="64"/>
      <c r="F712" s="64"/>
      <c r="G712" s="32"/>
      <c r="H712" s="64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2.75" customHeight="1" x14ac:dyDescent="0.2">
      <c r="A713" s="32"/>
      <c r="B713" s="32"/>
      <c r="C713" s="57"/>
      <c r="D713" s="32"/>
      <c r="E713" s="64"/>
      <c r="F713" s="64"/>
      <c r="G713" s="32"/>
      <c r="H713" s="64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2.75" customHeight="1" x14ac:dyDescent="0.2">
      <c r="A714" s="32"/>
      <c r="B714" s="32"/>
      <c r="C714" s="57"/>
      <c r="D714" s="32"/>
      <c r="E714" s="64"/>
      <c r="F714" s="64"/>
      <c r="G714" s="32"/>
      <c r="H714" s="64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2.75" customHeight="1" x14ac:dyDescent="0.2">
      <c r="A715" s="32"/>
      <c r="B715" s="32"/>
      <c r="C715" s="57"/>
      <c r="D715" s="32"/>
      <c r="E715" s="64"/>
      <c r="F715" s="64"/>
      <c r="G715" s="32"/>
      <c r="H715" s="64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2.75" customHeight="1" x14ac:dyDescent="0.2">
      <c r="A716" s="32"/>
      <c r="B716" s="32"/>
      <c r="C716" s="57"/>
      <c r="D716" s="32"/>
      <c r="E716" s="64"/>
      <c r="F716" s="64"/>
      <c r="G716" s="32"/>
      <c r="H716" s="64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2.75" customHeight="1" x14ac:dyDescent="0.2">
      <c r="A717" s="32"/>
      <c r="B717" s="32"/>
      <c r="C717" s="57"/>
      <c r="D717" s="32"/>
      <c r="E717" s="64"/>
      <c r="F717" s="64"/>
      <c r="G717" s="32"/>
      <c r="H717" s="64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2.75" customHeight="1" x14ac:dyDescent="0.2">
      <c r="A718" s="32"/>
      <c r="B718" s="32"/>
      <c r="C718" s="57"/>
      <c r="D718" s="32"/>
      <c r="E718" s="64"/>
      <c r="F718" s="64"/>
      <c r="G718" s="32"/>
      <c r="H718" s="64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2.75" customHeight="1" x14ac:dyDescent="0.2">
      <c r="A719" s="32"/>
      <c r="B719" s="32"/>
      <c r="C719" s="57"/>
      <c r="D719" s="32"/>
      <c r="E719" s="64"/>
      <c r="F719" s="64"/>
      <c r="G719" s="32"/>
      <c r="H719" s="64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2.75" customHeight="1" x14ac:dyDescent="0.2">
      <c r="A720" s="32"/>
      <c r="B720" s="32"/>
      <c r="C720" s="57"/>
      <c r="D720" s="32"/>
      <c r="E720" s="64"/>
      <c r="F720" s="64"/>
      <c r="G720" s="32"/>
      <c r="H720" s="64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2.75" customHeight="1" x14ac:dyDescent="0.2">
      <c r="A721" s="32"/>
      <c r="B721" s="32"/>
      <c r="C721" s="57"/>
      <c r="D721" s="32"/>
      <c r="E721" s="64"/>
      <c r="F721" s="64"/>
      <c r="G721" s="32"/>
      <c r="H721" s="64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2.75" customHeight="1" x14ac:dyDescent="0.2">
      <c r="A722" s="32"/>
      <c r="B722" s="32"/>
      <c r="C722" s="57"/>
      <c r="D722" s="32"/>
      <c r="E722" s="64"/>
      <c r="F722" s="64"/>
      <c r="G722" s="32"/>
      <c r="H722" s="64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2.75" customHeight="1" x14ac:dyDescent="0.2">
      <c r="A723" s="32"/>
      <c r="B723" s="32"/>
      <c r="C723" s="57"/>
      <c r="D723" s="32"/>
      <c r="E723" s="64"/>
      <c r="F723" s="64"/>
      <c r="G723" s="32"/>
      <c r="H723" s="64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2.75" customHeight="1" x14ac:dyDescent="0.2">
      <c r="A724" s="32"/>
      <c r="B724" s="32"/>
      <c r="C724" s="57"/>
      <c r="D724" s="32"/>
      <c r="E724" s="64"/>
      <c r="F724" s="64"/>
      <c r="G724" s="32"/>
      <c r="H724" s="64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2.75" customHeight="1" x14ac:dyDescent="0.2">
      <c r="A725" s="32"/>
      <c r="B725" s="32"/>
      <c r="C725" s="57"/>
      <c r="D725" s="32"/>
      <c r="E725" s="64"/>
      <c r="F725" s="64"/>
      <c r="G725" s="32"/>
      <c r="H725" s="64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2.75" customHeight="1" x14ac:dyDescent="0.2">
      <c r="A726" s="32"/>
      <c r="B726" s="32"/>
      <c r="C726" s="57"/>
      <c r="D726" s="32"/>
      <c r="E726" s="64"/>
      <c r="F726" s="64"/>
      <c r="G726" s="32"/>
      <c r="H726" s="64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2.75" customHeight="1" x14ac:dyDescent="0.2">
      <c r="A727" s="32"/>
      <c r="B727" s="32"/>
      <c r="C727" s="57"/>
      <c r="D727" s="32"/>
      <c r="E727" s="64"/>
      <c r="F727" s="64"/>
      <c r="G727" s="32"/>
      <c r="H727" s="64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2.75" customHeight="1" x14ac:dyDescent="0.2">
      <c r="A728" s="32"/>
      <c r="B728" s="32"/>
      <c r="C728" s="57"/>
      <c r="D728" s="32"/>
      <c r="E728" s="64"/>
      <c r="F728" s="64"/>
      <c r="G728" s="32"/>
      <c r="H728" s="64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2.75" customHeight="1" x14ac:dyDescent="0.2">
      <c r="A729" s="32"/>
      <c r="B729" s="32"/>
      <c r="C729" s="57"/>
      <c r="D729" s="32"/>
      <c r="E729" s="64"/>
      <c r="F729" s="64"/>
      <c r="G729" s="32"/>
      <c r="H729" s="64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2.75" customHeight="1" x14ac:dyDescent="0.2">
      <c r="A730" s="32"/>
      <c r="B730" s="32"/>
      <c r="C730" s="57"/>
      <c r="D730" s="32"/>
      <c r="E730" s="64"/>
      <c r="F730" s="64"/>
      <c r="G730" s="32"/>
      <c r="H730" s="64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2.75" customHeight="1" x14ac:dyDescent="0.2">
      <c r="A731" s="32"/>
      <c r="B731" s="32"/>
      <c r="C731" s="57"/>
      <c r="D731" s="32"/>
      <c r="E731" s="64"/>
      <c r="F731" s="64"/>
      <c r="G731" s="32"/>
      <c r="H731" s="64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2.75" customHeight="1" x14ac:dyDescent="0.2">
      <c r="A732" s="32"/>
      <c r="B732" s="32"/>
      <c r="C732" s="57"/>
      <c r="D732" s="32"/>
      <c r="E732" s="64"/>
      <c r="F732" s="64"/>
      <c r="G732" s="32"/>
      <c r="H732" s="64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2.75" customHeight="1" x14ac:dyDescent="0.2">
      <c r="A733" s="32"/>
      <c r="B733" s="32"/>
      <c r="C733" s="57"/>
      <c r="D733" s="32"/>
      <c r="E733" s="64"/>
      <c r="F733" s="64"/>
      <c r="G733" s="32"/>
      <c r="H733" s="64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2.75" customHeight="1" x14ac:dyDescent="0.2">
      <c r="A734" s="32"/>
      <c r="B734" s="32"/>
      <c r="C734" s="57"/>
      <c r="D734" s="32"/>
      <c r="E734" s="64"/>
      <c r="F734" s="64"/>
      <c r="G734" s="32"/>
      <c r="H734" s="64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2.75" customHeight="1" x14ac:dyDescent="0.2">
      <c r="A735" s="32"/>
      <c r="B735" s="32"/>
      <c r="C735" s="57"/>
      <c r="D735" s="32"/>
      <c r="E735" s="64"/>
      <c r="F735" s="64"/>
      <c r="G735" s="32"/>
      <c r="H735" s="64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2.75" customHeight="1" x14ac:dyDescent="0.2">
      <c r="A736" s="32"/>
      <c r="B736" s="32"/>
      <c r="C736" s="57"/>
      <c r="D736" s="32"/>
      <c r="E736" s="64"/>
      <c r="F736" s="64"/>
      <c r="G736" s="32"/>
      <c r="H736" s="64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2.75" customHeight="1" x14ac:dyDescent="0.2">
      <c r="A737" s="32"/>
      <c r="B737" s="32"/>
      <c r="C737" s="57"/>
      <c r="D737" s="32"/>
      <c r="E737" s="64"/>
      <c r="F737" s="64"/>
      <c r="G737" s="32"/>
      <c r="H737" s="64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2.75" customHeight="1" x14ac:dyDescent="0.2">
      <c r="A738" s="32"/>
      <c r="B738" s="32"/>
      <c r="C738" s="57"/>
      <c r="D738" s="32"/>
      <c r="E738" s="64"/>
      <c r="F738" s="64"/>
      <c r="G738" s="32"/>
      <c r="H738" s="64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2.75" customHeight="1" x14ac:dyDescent="0.2">
      <c r="A739" s="32"/>
      <c r="B739" s="32"/>
      <c r="C739" s="57"/>
      <c r="D739" s="32"/>
      <c r="E739" s="64"/>
      <c r="F739" s="64"/>
      <c r="G739" s="32"/>
      <c r="H739" s="64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2.75" customHeight="1" x14ac:dyDescent="0.2">
      <c r="A740" s="32"/>
      <c r="B740" s="32"/>
      <c r="C740" s="57"/>
      <c r="D740" s="32"/>
      <c r="E740" s="64"/>
      <c r="F740" s="64"/>
      <c r="G740" s="32"/>
      <c r="H740" s="64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2.75" customHeight="1" x14ac:dyDescent="0.2">
      <c r="A741" s="32"/>
      <c r="B741" s="32"/>
      <c r="C741" s="57"/>
      <c r="D741" s="32"/>
      <c r="E741" s="64"/>
      <c r="F741" s="64"/>
      <c r="G741" s="32"/>
      <c r="H741" s="64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2.75" customHeight="1" x14ac:dyDescent="0.2">
      <c r="A742" s="32"/>
      <c r="B742" s="32"/>
      <c r="C742" s="57"/>
      <c r="D742" s="32"/>
      <c r="E742" s="64"/>
      <c r="F742" s="64"/>
      <c r="G742" s="32"/>
      <c r="H742" s="64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2.75" customHeight="1" x14ac:dyDescent="0.2">
      <c r="A743" s="32"/>
      <c r="B743" s="32"/>
      <c r="C743" s="57"/>
      <c r="D743" s="32"/>
      <c r="E743" s="64"/>
      <c r="F743" s="64"/>
      <c r="G743" s="32"/>
      <c r="H743" s="64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2.75" customHeight="1" x14ac:dyDescent="0.2">
      <c r="A744" s="32"/>
      <c r="B744" s="32"/>
      <c r="C744" s="57"/>
      <c r="D744" s="32"/>
      <c r="E744" s="64"/>
      <c r="F744" s="64"/>
      <c r="G744" s="32"/>
      <c r="H744" s="64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2.75" customHeight="1" x14ac:dyDescent="0.2">
      <c r="A745" s="32"/>
      <c r="B745" s="32"/>
      <c r="C745" s="57"/>
      <c r="D745" s="32"/>
      <c r="E745" s="64"/>
      <c r="F745" s="64"/>
      <c r="G745" s="32"/>
      <c r="H745" s="64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2.75" customHeight="1" x14ac:dyDescent="0.2">
      <c r="A746" s="32"/>
      <c r="B746" s="32"/>
      <c r="C746" s="57"/>
      <c r="D746" s="32"/>
      <c r="E746" s="64"/>
      <c r="F746" s="64"/>
      <c r="G746" s="32"/>
      <c r="H746" s="64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2.75" customHeight="1" x14ac:dyDescent="0.2">
      <c r="A747" s="32"/>
      <c r="B747" s="32"/>
      <c r="C747" s="57"/>
      <c r="D747" s="32"/>
      <c r="E747" s="64"/>
      <c r="F747" s="64"/>
      <c r="G747" s="32"/>
      <c r="H747" s="64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2.75" customHeight="1" x14ac:dyDescent="0.2">
      <c r="A748" s="32"/>
      <c r="B748" s="32"/>
      <c r="C748" s="57"/>
      <c r="D748" s="32"/>
      <c r="E748" s="64"/>
      <c r="F748" s="64"/>
      <c r="G748" s="32"/>
      <c r="H748" s="64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2.75" customHeight="1" x14ac:dyDescent="0.2">
      <c r="A749" s="32"/>
      <c r="B749" s="32"/>
      <c r="C749" s="57"/>
      <c r="D749" s="32"/>
      <c r="E749" s="64"/>
      <c r="F749" s="64"/>
      <c r="G749" s="32"/>
      <c r="H749" s="64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2.75" customHeight="1" x14ac:dyDescent="0.2">
      <c r="A750" s="32"/>
      <c r="B750" s="32"/>
      <c r="C750" s="57"/>
      <c r="D750" s="32"/>
      <c r="E750" s="64"/>
      <c r="F750" s="64"/>
      <c r="G750" s="32"/>
      <c r="H750" s="64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2.75" customHeight="1" x14ac:dyDescent="0.2">
      <c r="A751" s="32"/>
      <c r="B751" s="32"/>
      <c r="C751" s="57"/>
      <c r="D751" s="32"/>
      <c r="E751" s="64"/>
      <c r="F751" s="64"/>
      <c r="G751" s="32"/>
      <c r="H751" s="64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2.75" customHeight="1" x14ac:dyDescent="0.2">
      <c r="A752" s="32"/>
      <c r="B752" s="32"/>
      <c r="C752" s="57"/>
      <c r="D752" s="32"/>
      <c r="E752" s="64"/>
      <c r="F752" s="64"/>
      <c r="G752" s="32"/>
      <c r="H752" s="64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2.75" customHeight="1" x14ac:dyDescent="0.2">
      <c r="A753" s="32"/>
      <c r="B753" s="32"/>
      <c r="C753" s="57"/>
      <c r="D753" s="32"/>
      <c r="E753" s="64"/>
      <c r="F753" s="64"/>
      <c r="G753" s="32"/>
      <c r="H753" s="64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2.75" customHeight="1" x14ac:dyDescent="0.2">
      <c r="A754" s="32"/>
      <c r="B754" s="32"/>
      <c r="C754" s="57"/>
      <c r="D754" s="32"/>
      <c r="E754" s="64"/>
      <c r="F754" s="64"/>
      <c r="G754" s="32"/>
      <c r="H754" s="64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2.75" customHeight="1" x14ac:dyDescent="0.2">
      <c r="A755" s="32"/>
      <c r="B755" s="32"/>
      <c r="C755" s="57"/>
      <c r="D755" s="32"/>
      <c r="E755" s="64"/>
      <c r="F755" s="64"/>
      <c r="G755" s="32"/>
      <c r="H755" s="64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2.75" customHeight="1" x14ac:dyDescent="0.2">
      <c r="A756" s="32"/>
      <c r="B756" s="32"/>
      <c r="C756" s="57"/>
      <c r="D756" s="32"/>
      <c r="E756" s="64"/>
      <c r="F756" s="64"/>
      <c r="G756" s="32"/>
      <c r="H756" s="64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2.75" customHeight="1" x14ac:dyDescent="0.2">
      <c r="A757" s="32"/>
      <c r="B757" s="32"/>
      <c r="C757" s="57"/>
      <c r="D757" s="32"/>
      <c r="E757" s="64"/>
      <c r="F757" s="64"/>
      <c r="G757" s="32"/>
      <c r="H757" s="64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2.75" customHeight="1" x14ac:dyDescent="0.2">
      <c r="A758" s="32"/>
      <c r="B758" s="32"/>
      <c r="C758" s="57"/>
      <c r="D758" s="32"/>
      <c r="E758" s="64"/>
      <c r="F758" s="64"/>
      <c r="G758" s="32"/>
      <c r="H758" s="64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2.75" customHeight="1" x14ac:dyDescent="0.2">
      <c r="A759" s="32"/>
      <c r="B759" s="32"/>
      <c r="C759" s="57"/>
      <c r="D759" s="32"/>
      <c r="E759" s="64"/>
      <c r="F759" s="64"/>
      <c r="G759" s="32"/>
      <c r="H759" s="64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2.75" customHeight="1" x14ac:dyDescent="0.2">
      <c r="A760" s="32"/>
      <c r="B760" s="32"/>
      <c r="C760" s="57"/>
      <c r="D760" s="32"/>
      <c r="E760" s="64"/>
      <c r="F760" s="64"/>
      <c r="G760" s="32"/>
      <c r="H760" s="64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2.75" customHeight="1" x14ac:dyDescent="0.2">
      <c r="A761" s="32"/>
      <c r="B761" s="32"/>
      <c r="C761" s="57"/>
      <c r="D761" s="32"/>
      <c r="E761" s="64"/>
      <c r="F761" s="64"/>
      <c r="G761" s="32"/>
      <c r="H761" s="64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2.75" customHeight="1" x14ac:dyDescent="0.2">
      <c r="A762" s="32"/>
      <c r="B762" s="32"/>
      <c r="C762" s="57"/>
      <c r="D762" s="32"/>
      <c r="E762" s="64"/>
      <c r="F762" s="64"/>
      <c r="G762" s="32"/>
      <c r="H762" s="64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2.75" customHeight="1" x14ac:dyDescent="0.2">
      <c r="A763" s="32"/>
      <c r="B763" s="32"/>
      <c r="C763" s="57"/>
      <c r="D763" s="32"/>
      <c r="E763" s="64"/>
      <c r="F763" s="64"/>
      <c r="G763" s="32"/>
      <c r="H763" s="64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2.75" customHeight="1" x14ac:dyDescent="0.2">
      <c r="A764" s="32"/>
      <c r="B764" s="32"/>
      <c r="C764" s="57"/>
      <c r="D764" s="32"/>
      <c r="E764" s="64"/>
      <c r="F764" s="64"/>
      <c r="G764" s="32"/>
      <c r="H764" s="64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2.75" customHeight="1" x14ac:dyDescent="0.2">
      <c r="A765" s="32"/>
      <c r="B765" s="32"/>
      <c r="C765" s="57"/>
      <c r="D765" s="32"/>
      <c r="E765" s="64"/>
      <c r="F765" s="64"/>
      <c r="G765" s="32"/>
      <c r="H765" s="64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2.75" customHeight="1" x14ac:dyDescent="0.2">
      <c r="A766" s="32"/>
      <c r="B766" s="32"/>
      <c r="C766" s="57"/>
      <c r="D766" s="32"/>
      <c r="E766" s="64"/>
      <c r="F766" s="64"/>
      <c r="G766" s="32"/>
      <c r="H766" s="64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2.75" customHeight="1" x14ac:dyDescent="0.2">
      <c r="A767" s="32"/>
      <c r="B767" s="32"/>
      <c r="C767" s="57"/>
      <c r="D767" s="32"/>
      <c r="E767" s="64"/>
      <c r="F767" s="64"/>
      <c r="G767" s="32"/>
      <c r="H767" s="64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2.75" customHeight="1" x14ac:dyDescent="0.2">
      <c r="A768" s="32"/>
      <c r="B768" s="32"/>
      <c r="C768" s="57"/>
      <c r="D768" s="32"/>
      <c r="E768" s="64"/>
      <c r="F768" s="64"/>
      <c r="G768" s="32"/>
      <c r="H768" s="64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2.75" customHeight="1" x14ac:dyDescent="0.2">
      <c r="A769" s="32"/>
      <c r="B769" s="32"/>
      <c r="C769" s="57"/>
      <c r="D769" s="32"/>
      <c r="E769" s="64"/>
      <c r="F769" s="64"/>
      <c r="G769" s="32"/>
      <c r="H769" s="64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2.75" customHeight="1" x14ac:dyDescent="0.2">
      <c r="A770" s="32"/>
      <c r="B770" s="32"/>
      <c r="C770" s="57"/>
      <c r="D770" s="32"/>
      <c r="E770" s="64"/>
      <c r="F770" s="64"/>
      <c r="G770" s="32"/>
      <c r="H770" s="64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2.75" customHeight="1" x14ac:dyDescent="0.2">
      <c r="A771" s="32"/>
      <c r="B771" s="32"/>
      <c r="C771" s="57"/>
      <c r="D771" s="32"/>
      <c r="E771" s="64"/>
      <c r="F771" s="64"/>
      <c r="G771" s="32"/>
      <c r="H771" s="64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2.75" customHeight="1" x14ac:dyDescent="0.2">
      <c r="A772" s="32"/>
      <c r="B772" s="32"/>
      <c r="C772" s="57"/>
      <c r="D772" s="32"/>
      <c r="E772" s="64"/>
      <c r="F772" s="64"/>
      <c r="G772" s="32"/>
      <c r="H772" s="64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2.75" customHeight="1" x14ac:dyDescent="0.2">
      <c r="A773" s="32"/>
      <c r="B773" s="32"/>
      <c r="C773" s="57"/>
      <c r="D773" s="32"/>
      <c r="E773" s="64"/>
      <c r="F773" s="64"/>
      <c r="G773" s="32"/>
      <c r="H773" s="64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2.75" customHeight="1" x14ac:dyDescent="0.2">
      <c r="A774" s="32"/>
      <c r="B774" s="32"/>
      <c r="C774" s="57"/>
      <c r="D774" s="32"/>
      <c r="E774" s="64"/>
      <c r="F774" s="64"/>
      <c r="G774" s="32"/>
      <c r="H774" s="64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2.75" customHeight="1" x14ac:dyDescent="0.2">
      <c r="A775" s="32"/>
      <c r="B775" s="32"/>
      <c r="C775" s="57"/>
      <c r="D775" s="32"/>
      <c r="E775" s="64"/>
      <c r="F775" s="64"/>
      <c r="G775" s="32"/>
      <c r="H775" s="64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2.75" customHeight="1" x14ac:dyDescent="0.2">
      <c r="A776" s="32"/>
      <c r="B776" s="32"/>
      <c r="C776" s="57"/>
      <c r="D776" s="32"/>
      <c r="E776" s="64"/>
      <c r="F776" s="64"/>
      <c r="G776" s="32"/>
      <c r="H776" s="64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2.75" customHeight="1" x14ac:dyDescent="0.2">
      <c r="A777" s="32"/>
      <c r="B777" s="32"/>
      <c r="C777" s="57"/>
      <c r="D777" s="32"/>
      <c r="E777" s="64"/>
      <c r="F777" s="64"/>
      <c r="G777" s="32"/>
      <c r="H777" s="64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2.75" customHeight="1" x14ac:dyDescent="0.2">
      <c r="A778" s="32"/>
      <c r="B778" s="32"/>
      <c r="C778" s="57"/>
      <c r="D778" s="32"/>
      <c r="E778" s="64"/>
      <c r="F778" s="64"/>
      <c r="G778" s="32"/>
      <c r="H778" s="64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2.75" customHeight="1" x14ac:dyDescent="0.2">
      <c r="A779" s="32"/>
      <c r="B779" s="32"/>
      <c r="C779" s="57"/>
      <c r="D779" s="32"/>
      <c r="E779" s="64"/>
      <c r="F779" s="64"/>
      <c r="G779" s="32"/>
      <c r="H779" s="64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2.75" customHeight="1" x14ac:dyDescent="0.2">
      <c r="A780" s="32"/>
      <c r="B780" s="32"/>
      <c r="C780" s="57"/>
      <c r="D780" s="32"/>
      <c r="E780" s="64"/>
      <c r="F780" s="64"/>
      <c r="G780" s="32"/>
      <c r="H780" s="64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2.75" customHeight="1" x14ac:dyDescent="0.2">
      <c r="A781" s="32"/>
      <c r="B781" s="32"/>
      <c r="C781" s="57"/>
      <c r="D781" s="32"/>
      <c r="E781" s="64"/>
      <c r="F781" s="64"/>
      <c r="G781" s="32"/>
      <c r="H781" s="64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2.75" customHeight="1" x14ac:dyDescent="0.2">
      <c r="A782" s="32"/>
      <c r="B782" s="32"/>
      <c r="C782" s="57"/>
      <c r="D782" s="32"/>
      <c r="E782" s="64"/>
      <c r="F782" s="64"/>
      <c r="G782" s="32"/>
      <c r="H782" s="64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2.75" customHeight="1" x14ac:dyDescent="0.2">
      <c r="A783" s="32"/>
      <c r="B783" s="32"/>
      <c r="C783" s="57"/>
      <c r="D783" s="32"/>
      <c r="E783" s="64"/>
      <c r="F783" s="64"/>
      <c r="G783" s="32"/>
      <c r="H783" s="64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2.75" customHeight="1" x14ac:dyDescent="0.2">
      <c r="A784" s="32"/>
      <c r="B784" s="32"/>
      <c r="C784" s="57"/>
      <c r="D784" s="32"/>
      <c r="E784" s="64"/>
      <c r="F784" s="64"/>
      <c r="G784" s="32"/>
      <c r="H784" s="64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2.75" customHeight="1" x14ac:dyDescent="0.2">
      <c r="A785" s="32"/>
      <c r="B785" s="32"/>
      <c r="C785" s="57"/>
      <c r="D785" s="32"/>
      <c r="E785" s="64"/>
      <c r="F785" s="64"/>
      <c r="G785" s="32"/>
      <c r="H785" s="64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2.75" customHeight="1" x14ac:dyDescent="0.2">
      <c r="A786" s="32"/>
      <c r="B786" s="32"/>
      <c r="C786" s="57"/>
      <c r="D786" s="32"/>
      <c r="E786" s="64"/>
      <c r="F786" s="64"/>
      <c r="G786" s="32"/>
      <c r="H786" s="64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2.75" customHeight="1" x14ac:dyDescent="0.2">
      <c r="A787" s="32"/>
      <c r="B787" s="32"/>
      <c r="C787" s="57"/>
      <c r="D787" s="32"/>
      <c r="E787" s="64"/>
      <c r="F787" s="64"/>
      <c r="G787" s="32"/>
      <c r="H787" s="64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2.75" customHeight="1" x14ac:dyDescent="0.2">
      <c r="A788" s="32"/>
      <c r="B788" s="32"/>
      <c r="C788" s="57"/>
      <c r="D788" s="32"/>
      <c r="E788" s="64"/>
      <c r="F788" s="64"/>
      <c r="G788" s="32"/>
      <c r="H788" s="64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2.75" customHeight="1" x14ac:dyDescent="0.2">
      <c r="A789" s="32"/>
      <c r="B789" s="32"/>
      <c r="C789" s="57"/>
      <c r="D789" s="32"/>
      <c r="E789" s="64"/>
      <c r="F789" s="64"/>
      <c r="G789" s="32"/>
      <c r="H789" s="64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2.75" customHeight="1" x14ac:dyDescent="0.2">
      <c r="A790" s="32"/>
      <c r="B790" s="32"/>
      <c r="C790" s="57"/>
      <c r="D790" s="32"/>
      <c r="E790" s="64"/>
      <c r="F790" s="64"/>
      <c r="G790" s="32"/>
      <c r="H790" s="64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2.75" customHeight="1" x14ac:dyDescent="0.2">
      <c r="A791" s="32"/>
      <c r="B791" s="32"/>
      <c r="C791" s="57"/>
      <c r="D791" s="32"/>
      <c r="E791" s="64"/>
      <c r="F791" s="64"/>
      <c r="G791" s="32"/>
      <c r="H791" s="64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2.75" customHeight="1" x14ac:dyDescent="0.2">
      <c r="A792" s="32"/>
      <c r="B792" s="32"/>
      <c r="C792" s="57"/>
      <c r="D792" s="32"/>
      <c r="E792" s="64"/>
      <c r="F792" s="64"/>
      <c r="G792" s="32"/>
      <c r="H792" s="64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2.75" customHeight="1" x14ac:dyDescent="0.2">
      <c r="A793" s="32"/>
      <c r="B793" s="32"/>
      <c r="C793" s="57"/>
      <c r="D793" s="32"/>
      <c r="E793" s="64"/>
      <c r="F793" s="64"/>
      <c r="G793" s="32"/>
      <c r="H793" s="64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2.75" customHeight="1" x14ac:dyDescent="0.2">
      <c r="A794" s="32"/>
      <c r="B794" s="32"/>
      <c r="C794" s="57"/>
      <c r="D794" s="32"/>
      <c r="E794" s="64"/>
      <c r="F794" s="64"/>
      <c r="G794" s="32"/>
      <c r="H794" s="64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2.75" customHeight="1" x14ac:dyDescent="0.2">
      <c r="A795" s="32"/>
      <c r="B795" s="32"/>
      <c r="C795" s="57"/>
      <c r="D795" s="32"/>
      <c r="E795" s="64"/>
      <c r="F795" s="64"/>
      <c r="G795" s="32"/>
      <c r="H795" s="64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2.75" customHeight="1" x14ac:dyDescent="0.2">
      <c r="A796" s="32"/>
      <c r="B796" s="32"/>
      <c r="C796" s="57"/>
      <c r="D796" s="32"/>
      <c r="E796" s="64"/>
      <c r="F796" s="64"/>
      <c r="G796" s="32"/>
      <c r="H796" s="64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2.75" customHeight="1" x14ac:dyDescent="0.2">
      <c r="A797" s="32"/>
      <c r="B797" s="32"/>
      <c r="C797" s="57"/>
      <c r="D797" s="32"/>
      <c r="E797" s="64"/>
      <c r="F797" s="64"/>
      <c r="G797" s="32"/>
      <c r="H797" s="64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2.75" customHeight="1" x14ac:dyDescent="0.2">
      <c r="A798" s="32"/>
      <c r="B798" s="32"/>
      <c r="C798" s="57"/>
      <c r="D798" s="32"/>
      <c r="E798" s="64"/>
      <c r="F798" s="64"/>
      <c r="G798" s="32"/>
      <c r="H798" s="64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2.75" customHeight="1" x14ac:dyDescent="0.2">
      <c r="A799" s="32"/>
      <c r="B799" s="32"/>
      <c r="C799" s="57"/>
      <c r="D799" s="32"/>
      <c r="E799" s="64"/>
      <c r="F799" s="64"/>
      <c r="G799" s="32"/>
      <c r="H799" s="64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2.75" customHeight="1" x14ac:dyDescent="0.2">
      <c r="A800" s="32"/>
      <c r="B800" s="32"/>
      <c r="C800" s="57"/>
      <c r="D800" s="32"/>
      <c r="E800" s="64"/>
      <c r="F800" s="64"/>
      <c r="G800" s="32"/>
      <c r="H800" s="64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2.75" customHeight="1" x14ac:dyDescent="0.2">
      <c r="A801" s="32"/>
      <c r="B801" s="32"/>
      <c r="C801" s="57"/>
      <c r="D801" s="32"/>
      <c r="E801" s="64"/>
      <c r="F801" s="64"/>
      <c r="G801" s="32"/>
      <c r="H801" s="64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2.75" customHeight="1" x14ac:dyDescent="0.2">
      <c r="A802" s="32"/>
      <c r="B802" s="32"/>
      <c r="C802" s="57"/>
      <c r="D802" s="32"/>
      <c r="E802" s="64"/>
      <c r="F802" s="64"/>
      <c r="G802" s="32"/>
      <c r="H802" s="64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2.75" customHeight="1" x14ac:dyDescent="0.2">
      <c r="A803" s="32"/>
      <c r="B803" s="32"/>
      <c r="C803" s="57"/>
      <c r="D803" s="32"/>
      <c r="E803" s="64"/>
      <c r="F803" s="64"/>
      <c r="G803" s="32"/>
      <c r="H803" s="64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2.75" customHeight="1" x14ac:dyDescent="0.2">
      <c r="A804" s="32"/>
      <c r="B804" s="32"/>
      <c r="C804" s="57"/>
      <c r="D804" s="32"/>
      <c r="E804" s="64"/>
      <c r="F804" s="64"/>
      <c r="G804" s="32"/>
      <c r="H804" s="64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2.75" customHeight="1" x14ac:dyDescent="0.2">
      <c r="A805" s="32"/>
      <c r="B805" s="32"/>
      <c r="C805" s="57"/>
      <c r="D805" s="32"/>
      <c r="E805" s="64"/>
      <c r="F805" s="64"/>
      <c r="G805" s="32"/>
      <c r="H805" s="64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2.75" customHeight="1" x14ac:dyDescent="0.2">
      <c r="A806" s="32"/>
      <c r="B806" s="32"/>
      <c r="C806" s="57"/>
      <c r="D806" s="32"/>
      <c r="E806" s="64"/>
      <c r="F806" s="64"/>
      <c r="G806" s="32"/>
      <c r="H806" s="64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2.75" customHeight="1" x14ac:dyDescent="0.2">
      <c r="A807" s="32"/>
      <c r="B807" s="32"/>
      <c r="C807" s="57"/>
      <c r="D807" s="32"/>
      <c r="E807" s="64"/>
      <c r="F807" s="64"/>
      <c r="G807" s="32"/>
      <c r="H807" s="64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2.75" customHeight="1" x14ac:dyDescent="0.2">
      <c r="A808" s="32"/>
      <c r="B808" s="32"/>
      <c r="C808" s="57"/>
      <c r="D808" s="32"/>
      <c r="E808" s="64"/>
      <c r="F808" s="64"/>
      <c r="G808" s="32"/>
      <c r="H808" s="64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2.75" customHeight="1" x14ac:dyDescent="0.2">
      <c r="A809" s="32"/>
      <c r="B809" s="32"/>
      <c r="C809" s="57"/>
      <c r="D809" s="32"/>
      <c r="E809" s="64"/>
      <c r="F809" s="64"/>
      <c r="G809" s="32"/>
      <c r="H809" s="64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2.75" customHeight="1" x14ac:dyDescent="0.2">
      <c r="A810" s="32"/>
      <c r="B810" s="32"/>
      <c r="C810" s="57"/>
      <c r="D810" s="32"/>
      <c r="E810" s="64"/>
      <c r="F810" s="64"/>
      <c r="G810" s="32"/>
      <c r="H810" s="64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2.75" customHeight="1" x14ac:dyDescent="0.2">
      <c r="A811" s="32"/>
      <c r="B811" s="32"/>
      <c r="C811" s="57"/>
      <c r="D811" s="32"/>
      <c r="E811" s="64"/>
      <c r="F811" s="64"/>
      <c r="G811" s="32"/>
      <c r="H811" s="64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2.75" customHeight="1" x14ac:dyDescent="0.2">
      <c r="A812" s="32"/>
      <c r="B812" s="32"/>
      <c r="C812" s="57"/>
      <c r="D812" s="32"/>
      <c r="E812" s="64"/>
      <c r="F812" s="64"/>
      <c r="G812" s="32"/>
      <c r="H812" s="64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2.75" customHeight="1" x14ac:dyDescent="0.2">
      <c r="A813" s="32"/>
      <c r="B813" s="32"/>
      <c r="C813" s="57"/>
      <c r="D813" s="32"/>
      <c r="E813" s="64"/>
      <c r="F813" s="64"/>
      <c r="G813" s="32"/>
      <c r="H813" s="64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2.75" customHeight="1" x14ac:dyDescent="0.2">
      <c r="A814" s="32"/>
      <c r="B814" s="32"/>
      <c r="C814" s="57"/>
      <c r="D814" s="32"/>
      <c r="E814" s="64"/>
      <c r="F814" s="64"/>
      <c r="G814" s="32"/>
      <c r="H814" s="64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2.75" customHeight="1" x14ac:dyDescent="0.2">
      <c r="A815" s="32"/>
      <c r="B815" s="32"/>
      <c r="C815" s="57"/>
      <c r="D815" s="32"/>
      <c r="E815" s="64"/>
      <c r="F815" s="64"/>
      <c r="G815" s="32"/>
      <c r="H815" s="64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2.75" customHeight="1" x14ac:dyDescent="0.2">
      <c r="A816" s="32"/>
      <c r="B816" s="32"/>
      <c r="C816" s="57"/>
      <c r="D816" s="32"/>
      <c r="E816" s="64"/>
      <c r="F816" s="64"/>
      <c r="G816" s="32"/>
      <c r="H816" s="64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2.75" customHeight="1" x14ac:dyDescent="0.2">
      <c r="A817" s="32"/>
      <c r="B817" s="32"/>
      <c r="C817" s="57"/>
      <c r="D817" s="32"/>
      <c r="E817" s="64"/>
      <c r="F817" s="64"/>
      <c r="G817" s="32"/>
      <c r="H817" s="64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2.75" customHeight="1" x14ac:dyDescent="0.2">
      <c r="A818" s="32"/>
      <c r="B818" s="32"/>
      <c r="C818" s="57"/>
      <c r="D818" s="32"/>
      <c r="E818" s="64"/>
      <c r="F818" s="64"/>
      <c r="G818" s="32"/>
      <c r="H818" s="64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2.75" customHeight="1" x14ac:dyDescent="0.2">
      <c r="A819" s="32"/>
      <c r="B819" s="32"/>
      <c r="C819" s="57"/>
      <c r="D819" s="32"/>
      <c r="E819" s="64"/>
      <c r="F819" s="64"/>
      <c r="G819" s="32"/>
      <c r="H819" s="64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2.75" customHeight="1" x14ac:dyDescent="0.2">
      <c r="A820" s="32"/>
      <c r="B820" s="32"/>
      <c r="C820" s="57"/>
      <c r="D820" s="32"/>
      <c r="E820" s="64"/>
      <c r="F820" s="64"/>
      <c r="G820" s="32"/>
      <c r="H820" s="64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2.75" customHeight="1" x14ac:dyDescent="0.2">
      <c r="A821" s="32"/>
      <c r="B821" s="32"/>
      <c r="C821" s="57"/>
      <c r="D821" s="32"/>
      <c r="E821" s="64"/>
      <c r="F821" s="64"/>
      <c r="G821" s="32"/>
      <c r="H821" s="64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2.75" customHeight="1" x14ac:dyDescent="0.2">
      <c r="A822" s="32"/>
      <c r="B822" s="32"/>
      <c r="C822" s="57"/>
      <c r="D822" s="32"/>
      <c r="E822" s="64"/>
      <c r="F822" s="64"/>
      <c r="G822" s="32"/>
      <c r="H822" s="64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2.75" customHeight="1" x14ac:dyDescent="0.2">
      <c r="A823" s="32"/>
      <c r="B823" s="32"/>
      <c r="C823" s="57"/>
      <c r="D823" s="32"/>
      <c r="E823" s="64"/>
      <c r="F823" s="64"/>
      <c r="G823" s="32"/>
      <c r="H823" s="64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2.75" customHeight="1" x14ac:dyDescent="0.2">
      <c r="A824" s="32"/>
      <c r="B824" s="32"/>
      <c r="C824" s="57"/>
      <c r="D824" s="32"/>
      <c r="E824" s="64"/>
      <c r="F824" s="64"/>
      <c r="G824" s="32"/>
      <c r="H824" s="64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2.75" customHeight="1" x14ac:dyDescent="0.2">
      <c r="A825" s="32"/>
      <c r="B825" s="32"/>
      <c r="C825" s="57"/>
      <c r="D825" s="32"/>
      <c r="E825" s="64"/>
      <c r="F825" s="64"/>
      <c r="G825" s="32"/>
      <c r="H825" s="64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2.75" customHeight="1" x14ac:dyDescent="0.2">
      <c r="A826" s="32"/>
      <c r="B826" s="32"/>
      <c r="C826" s="57"/>
      <c r="D826" s="32"/>
      <c r="E826" s="64"/>
      <c r="F826" s="64"/>
      <c r="G826" s="32"/>
      <c r="H826" s="64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2.75" customHeight="1" x14ac:dyDescent="0.2">
      <c r="A827" s="32"/>
      <c r="B827" s="32"/>
      <c r="C827" s="57"/>
      <c r="D827" s="32"/>
      <c r="E827" s="64"/>
      <c r="F827" s="64"/>
      <c r="G827" s="32"/>
      <c r="H827" s="64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2.75" customHeight="1" x14ac:dyDescent="0.2">
      <c r="A828" s="32"/>
      <c r="B828" s="32"/>
      <c r="C828" s="57"/>
      <c r="D828" s="32"/>
      <c r="E828" s="64"/>
      <c r="F828" s="64"/>
      <c r="G828" s="32"/>
      <c r="H828" s="64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2.75" customHeight="1" x14ac:dyDescent="0.2">
      <c r="A829" s="32"/>
      <c r="B829" s="32"/>
      <c r="C829" s="57"/>
      <c r="D829" s="32"/>
      <c r="E829" s="64"/>
      <c r="F829" s="64"/>
      <c r="G829" s="32"/>
      <c r="H829" s="64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2.75" customHeight="1" x14ac:dyDescent="0.2">
      <c r="A830" s="32"/>
      <c r="B830" s="32"/>
      <c r="C830" s="57"/>
      <c r="D830" s="32"/>
      <c r="E830" s="64"/>
      <c r="F830" s="64"/>
      <c r="G830" s="32"/>
      <c r="H830" s="64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2.75" customHeight="1" x14ac:dyDescent="0.2">
      <c r="A831" s="32"/>
      <c r="B831" s="32"/>
      <c r="C831" s="57"/>
      <c r="D831" s="32"/>
      <c r="E831" s="64"/>
      <c r="F831" s="64"/>
      <c r="G831" s="32"/>
      <c r="H831" s="64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2.75" customHeight="1" x14ac:dyDescent="0.2">
      <c r="A832" s="32"/>
      <c r="B832" s="32"/>
      <c r="C832" s="57"/>
      <c r="D832" s="32"/>
      <c r="E832" s="64"/>
      <c r="F832" s="64"/>
      <c r="G832" s="32"/>
      <c r="H832" s="64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2.75" customHeight="1" x14ac:dyDescent="0.2">
      <c r="A833" s="32"/>
      <c r="B833" s="32"/>
      <c r="C833" s="57"/>
      <c r="D833" s="32"/>
      <c r="E833" s="64"/>
      <c r="F833" s="64"/>
      <c r="G833" s="32"/>
      <c r="H833" s="64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2.75" customHeight="1" x14ac:dyDescent="0.2">
      <c r="A834" s="32"/>
      <c r="B834" s="32"/>
      <c r="C834" s="57"/>
      <c r="D834" s="32"/>
      <c r="E834" s="64"/>
      <c r="F834" s="64"/>
      <c r="G834" s="32"/>
      <c r="H834" s="64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2.75" customHeight="1" x14ac:dyDescent="0.2">
      <c r="A835" s="32"/>
      <c r="B835" s="32"/>
      <c r="C835" s="57"/>
      <c r="D835" s="32"/>
      <c r="E835" s="64"/>
      <c r="F835" s="64"/>
      <c r="G835" s="32"/>
      <c r="H835" s="64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2.75" customHeight="1" x14ac:dyDescent="0.2">
      <c r="A836" s="32"/>
      <c r="B836" s="32"/>
      <c r="C836" s="57"/>
      <c r="D836" s="32"/>
      <c r="E836" s="64"/>
      <c r="F836" s="64"/>
      <c r="G836" s="32"/>
      <c r="H836" s="64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2.75" customHeight="1" x14ac:dyDescent="0.2">
      <c r="A837" s="32"/>
      <c r="B837" s="32"/>
      <c r="C837" s="57"/>
      <c r="D837" s="32"/>
      <c r="E837" s="64"/>
      <c r="F837" s="64"/>
      <c r="G837" s="32"/>
      <c r="H837" s="64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2.75" customHeight="1" x14ac:dyDescent="0.2">
      <c r="A838" s="32"/>
      <c r="B838" s="32"/>
      <c r="C838" s="57"/>
      <c r="D838" s="32"/>
      <c r="E838" s="64"/>
      <c r="F838" s="64"/>
      <c r="G838" s="32"/>
      <c r="H838" s="64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2.75" customHeight="1" x14ac:dyDescent="0.2">
      <c r="A839" s="32"/>
      <c r="B839" s="32"/>
      <c r="C839" s="57"/>
      <c r="D839" s="32"/>
      <c r="E839" s="64"/>
      <c r="F839" s="64"/>
      <c r="G839" s="32"/>
      <c r="H839" s="64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2.75" customHeight="1" x14ac:dyDescent="0.2">
      <c r="A840" s="32"/>
      <c r="B840" s="32"/>
      <c r="C840" s="57"/>
      <c r="D840" s="32"/>
      <c r="E840" s="64"/>
      <c r="F840" s="64"/>
      <c r="G840" s="32"/>
      <c r="H840" s="64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2.75" customHeight="1" x14ac:dyDescent="0.2">
      <c r="A841" s="32"/>
      <c r="B841" s="32"/>
      <c r="C841" s="57"/>
      <c r="D841" s="32"/>
      <c r="E841" s="64"/>
      <c r="F841" s="64"/>
      <c r="G841" s="32"/>
      <c r="H841" s="64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2.75" customHeight="1" x14ac:dyDescent="0.2">
      <c r="A842" s="32"/>
      <c r="B842" s="32"/>
      <c r="C842" s="57"/>
      <c r="D842" s="32"/>
      <c r="E842" s="64"/>
      <c r="F842" s="64"/>
      <c r="G842" s="32"/>
      <c r="H842" s="64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2.75" customHeight="1" x14ac:dyDescent="0.2">
      <c r="A843" s="32"/>
      <c r="B843" s="32"/>
      <c r="C843" s="57"/>
      <c r="D843" s="32"/>
      <c r="E843" s="64"/>
      <c r="F843" s="64"/>
      <c r="G843" s="32"/>
      <c r="H843" s="64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2.75" customHeight="1" x14ac:dyDescent="0.2">
      <c r="A844" s="32"/>
      <c r="B844" s="32"/>
      <c r="C844" s="57"/>
      <c r="D844" s="32"/>
      <c r="E844" s="64"/>
      <c r="F844" s="64"/>
      <c r="G844" s="32"/>
      <c r="H844" s="64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2.75" customHeight="1" x14ac:dyDescent="0.2">
      <c r="A845" s="32"/>
      <c r="B845" s="32"/>
      <c r="C845" s="57"/>
      <c r="D845" s="32"/>
      <c r="E845" s="64"/>
      <c r="F845" s="64"/>
      <c r="G845" s="32"/>
      <c r="H845" s="64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2.75" customHeight="1" x14ac:dyDescent="0.2">
      <c r="A846" s="32"/>
      <c r="B846" s="32"/>
      <c r="C846" s="57"/>
      <c r="D846" s="32"/>
      <c r="E846" s="64"/>
      <c r="F846" s="64"/>
      <c r="G846" s="32"/>
      <c r="H846" s="64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2.75" customHeight="1" x14ac:dyDescent="0.2">
      <c r="A847" s="32"/>
      <c r="B847" s="32"/>
      <c r="C847" s="57"/>
      <c r="D847" s="32"/>
      <c r="E847" s="64"/>
      <c r="F847" s="64"/>
      <c r="G847" s="32"/>
      <c r="H847" s="64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2.75" customHeight="1" x14ac:dyDescent="0.2">
      <c r="A848" s="32"/>
      <c r="B848" s="32"/>
      <c r="C848" s="57"/>
      <c r="D848" s="32"/>
      <c r="E848" s="64"/>
      <c r="F848" s="64"/>
      <c r="G848" s="32"/>
      <c r="H848" s="64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2.75" customHeight="1" x14ac:dyDescent="0.2">
      <c r="A849" s="32"/>
      <c r="B849" s="32"/>
      <c r="C849" s="57"/>
      <c r="D849" s="32"/>
      <c r="E849" s="64"/>
      <c r="F849" s="64"/>
      <c r="G849" s="32"/>
      <c r="H849" s="64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2.75" customHeight="1" x14ac:dyDescent="0.2">
      <c r="A850" s="32"/>
      <c r="B850" s="32"/>
      <c r="C850" s="57"/>
      <c r="D850" s="32"/>
      <c r="E850" s="64"/>
      <c r="F850" s="64"/>
      <c r="G850" s="32"/>
      <c r="H850" s="64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2.75" customHeight="1" x14ac:dyDescent="0.2">
      <c r="A851" s="32"/>
      <c r="B851" s="32"/>
      <c r="C851" s="57"/>
      <c r="D851" s="32"/>
      <c r="E851" s="64"/>
      <c r="F851" s="64"/>
      <c r="G851" s="32"/>
      <c r="H851" s="64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2.75" customHeight="1" x14ac:dyDescent="0.2">
      <c r="A852" s="32"/>
      <c r="B852" s="32"/>
      <c r="C852" s="57"/>
      <c r="D852" s="32"/>
      <c r="E852" s="64"/>
      <c r="F852" s="64"/>
      <c r="G852" s="32"/>
      <c r="H852" s="64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2.75" customHeight="1" x14ac:dyDescent="0.2">
      <c r="A853" s="32"/>
      <c r="B853" s="32"/>
      <c r="C853" s="57"/>
      <c r="D853" s="32"/>
      <c r="E853" s="64"/>
      <c r="F853" s="64"/>
      <c r="G853" s="32"/>
      <c r="H853" s="64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2.75" customHeight="1" x14ac:dyDescent="0.2">
      <c r="A854" s="32"/>
      <c r="B854" s="32"/>
      <c r="C854" s="57"/>
      <c r="D854" s="32"/>
      <c r="E854" s="64"/>
      <c r="F854" s="64"/>
      <c r="G854" s="32"/>
      <c r="H854" s="64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2.75" customHeight="1" x14ac:dyDescent="0.2">
      <c r="A855" s="32"/>
      <c r="B855" s="32"/>
      <c r="C855" s="57"/>
      <c r="D855" s="32"/>
      <c r="E855" s="64"/>
      <c r="F855" s="64"/>
      <c r="G855" s="32"/>
      <c r="H855" s="64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2.75" customHeight="1" x14ac:dyDescent="0.2">
      <c r="A856" s="32"/>
      <c r="B856" s="32"/>
      <c r="C856" s="57"/>
      <c r="D856" s="32"/>
      <c r="E856" s="64"/>
      <c r="F856" s="64"/>
      <c r="G856" s="32"/>
      <c r="H856" s="64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2.75" customHeight="1" x14ac:dyDescent="0.2">
      <c r="A857" s="32"/>
      <c r="B857" s="32"/>
      <c r="C857" s="57"/>
      <c r="D857" s="32"/>
      <c r="E857" s="64"/>
      <c r="F857" s="64"/>
      <c r="G857" s="32"/>
      <c r="H857" s="64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2.75" customHeight="1" x14ac:dyDescent="0.2">
      <c r="A858" s="32"/>
      <c r="B858" s="32"/>
      <c r="C858" s="57"/>
      <c r="D858" s="32"/>
      <c r="E858" s="64"/>
      <c r="F858" s="64"/>
      <c r="G858" s="32"/>
      <c r="H858" s="64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2.75" customHeight="1" x14ac:dyDescent="0.2">
      <c r="A859" s="32"/>
      <c r="B859" s="32"/>
      <c r="C859" s="57"/>
      <c r="D859" s="32"/>
      <c r="E859" s="64"/>
      <c r="F859" s="64"/>
      <c r="G859" s="32"/>
      <c r="H859" s="64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2.75" customHeight="1" x14ac:dyDescent="0.2">
      <c r="A860" s="32"/>
      <c r="B860" s="32"/>
      <c r="C860" s="57"/>
      <c r="D860" s="32"/>
      <c r="E860" s="64"/>
      <c r="F860" s="64"/>
      <c r="G860" s="32"/>
      <c r="H860" s="64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2.75" customHeight="1" x14ac:dyDescent="0.2">
      <c r="A861" s="32"/>
      <c r="B861" s="32"/>
      <c r="C861" s="57"/>
      <c r="D861" s="32"/>
      <c r="E861" s="64"/>
      <c r="F861" s="64"/>
      <c r="G861" s="32"/>
      <c r="H861" s="64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2.75" customHeight="1" x14ac:dyDescent="0.2">
      <c r="A862" s="32"/>
      <c r="B862" s="32"/>
      <c r="C862" s="57"/>
      <c r="D862" s="32"/>
      <c r="E862" s="64"/>
      <c r="F862" s="64"/>
      <c r="G862" s="32"/>
      <c r="H862" s="64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2.75" customHeight="1" x14ac:dyDescent="0.2">
      <c r="A863" s="32"/>
      <c r="B863" s="32"/>
      <c r="C863" s="57"/>
      <c r="D863" s="32"/>
      <c r="E863" s="64"/>
      <c r="F863" s="64"/>
      <c r="G863" s="32"/>
      <c r="H863" s="64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2.75" customHeight="1" x14ac:dyDescent="0.2">
      <c r="A864" s="32"/>
      <c r="B864" s="32"/>
      <c r="C864" s="57"/>
      <c r="D864" s="32"/>
      <c r="E864" s="64"/>
      <c r="F864" s="64"/>
      <c r="G864" s="32"/>
      <c r="H864" s="64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2.75" customHeight="1" x14ac:dyDescent="0.2">
      <c r="A865" s="32"/>
      <c r="B865" s="32"/>
      <c r="C865" s="57"/>
      <c r="D865" s="32"/>
      <c r="E865" s="64"/>
      <c r="F865" s="64"/>
      <c r="G865" s="32"/>
      <c r="H865" s="64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2.75" customHeight="1" x14ac:dyDescent="0.2">
      <c r="A866" s="32"/>
      <c r="B866" s="32"/>
      <c r="C866" s="57"/>
      <c r="D866" s="32"/>
      <c r="E866" s="64"/>
      <c r="F866" s="64"/>
      <c r="G866" s="32"/>
      <c r="H866" s="64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2.75" customHeight="1" x14ac:dyDescent="0.2">
      <c r="A867" s="32"/>
      <c r="B867" s="32"/>
      <c r="C867" s="57"/>
      <c r="D867" s="32"/>
      <c r="E867" s="64"/>
      <c r="F867" s="64"/>
      <c r="G867" s="32"/>
      <c r="H867" s="64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2.75" customHeight="1" x14ac:dyDescent="0.2">
      <c r="A868" s="32"/>
      <c r="B868" s="32"/>
      <c r="C868" s="57"/>
      <c r="D868" s="32"/>
      <c r="E868" s="64"/>
      <c r="F868" s="64"/>
      <c r="G868" s="32"/>
      <c r="H868" s="64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2.75" customHeight="1" x14ac:dyDescent="0.2">
      <c r="A869" s="32"/>
      <c r="B869" s="32"/>
      <c r="C869" s="57"/>
      <c r="D869" s="32"/>
      <c r="E869" s="64"/>
      <c r="F869" s="64"/>
      <c r="G869" s="32"/>
      <c r="H869" s="64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2.75" customHeight="1" x14ac:dyDescent="0.2">
      <c r="A870" s="32"/>
      <c r="B870" s="32"/>
      <c r="C870" s="57"/>
      <c r="D870" s="32"/>
      <c r="E870" s="64"/>
      <c r="F870" s="64"/>
      <c r="G870" s="32"/>
      <c r="H870" s="64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2.75" customHeight="1" x14ac:dyDescent="0.2">
      <c r="A871" s="32"/>
      <c r="B871" s="32"/>
      <c r="C871" s="57"/>
      <c r="D871" s="32"/>
      <c r="E871" s="64"/>
      <c r="F871" s="64"/>
      <c r="G871" s="32"/>
      <c r="H871" s="64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2.75" customHeight="1" x14ac:dyDescent="0.2">
      <c r="A872" s="32"/>
      <c r="B872" s="32"/>
      <c r="C872" s="57"/>
      <c r="D872" s="32"/>
      <c r="E872" s="64"/>
      <c r="F872" s="64"/>
      <c r="G872" s="32"/>
      <c r="H872" s="64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2.75" customHeight="1" x14ac:dyDescent="0.2">
      <c r="A873" s="32"/>
      <c r="B873" s="32"/>
      <c r="C873" s="57"/>
      <c r="D873" s="32"/>
      <c r="E873" s="64"/>
      <c r="F873" s="64"/>
      <c r="G873" s="32"/>
      <c r="H873" s="64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2.75" customHeight="1" x14ac:dyDescent="0.2">
      <c r="A874" s="32"/>
      <c r="B874" s="32"/>
      <c r="C874" s="57"/>
      <c r="D874" s="32"/>
      <c r="E874" s="64"/>
      <c r="F874" s="64"/>
      <c r="G874" s="32"/>
      <c r="H874" s="64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2.75" customHeight="1" x14ac:dyDescent="0.2">
      <c r="A875" s="32"/>
      <c r="B875" s="32"/>
      <c r="C875" s="57"/>
      <c r="D875" s="32"/>
      <c r="E875" s="64"/>
      <c r="F875" s="64"/>
      <c r="G875" s="32"/>
      <c r="H875" s="64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2.75" customHeight="1" x14ac:dyDescent="0.2">
      <c r="A876" s="32"/>
      <c r="B876" s="32"/>
      <c r="C876" s="57"/>
      <c r="D876" s="32"/>
      <c r="E876" s="64"/>
      <c r="F876" s="64"/>
      <c r="G876" s="32"/>
      <c r="H876" s="64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2.75" customHeight="1" x14ac:dyDescent="0.2">
      <c r="A877" s="32"/>
      <c r="B877" s="32"/>
      <c r="C877" s="57"/>
      <c r="D877" s="32"/>
      <c r="E877" s="64"/>
      <c r="F877" s="64"/>
      <c r="G877" s="32"/>
      <c r="H877" s="64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2.75" customHeight="1" x14ac:dyDescent="0.2">
      <c r="A878" s="32"/>
      <c r="B878" s="32"/>
      <c r="C878" s="57"/>
      <c r="D878" s="32"/>
      <c r="E878" s="64"/>
      <c r="F878" s="64"/>
      <c r="G878" s="32"/>
      <c r="H878" s="64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2.75" customHeight="1" x14ac:dyDescent="0.2">
      <c r="A879" s="32"/>
      <c r="B879" s="32"/>
      <c r="C879" s="57"/>
      <c r="D879" s="32"/>
      <c r="E879" s="64"/>
      <c r="F879" s="64"/>
      <c r="G879" s="32"/>
      <c r="H879" s="64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2.75" customHeight="1" x14ac:dyDescent="0.2">
      <c r="A880" s="32"/>
      <c r="B880" s="32"/>
      <c r="C880" s="57"/>
      <c r="D880" s="32"/>
      <c r="E880" s="64"/>
      <c r="F880" s="64"/>
      <c r="G880" s="32"/>
      <c r="H880" s="64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2.75" customHeight="1" x14ac:dyDescent="0.2">
      <c r="A881" s="32"/>
      <c r="B881" s="32"/>
      <c r="C881" s="57"/>
      <c r="D881" s="32"/>
      <c r="E881" s="64"/>
      <c r="F881" s="64"/>
      <c r="G881" s="32"/>
      <c r="H881" s="64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2.75" customHeight="1" x14ac:dyDescent="0.2">
      <c r="A882" s="32"/>
      <c r="B882" s="32"/>
      <c r="C882" s="57"/>
      <c r="D882" s="32"/>
      <c r="E882" s="64"/>
      <c r="F882" s="64"/>
      <c r="G882" s="32"/>
      <c r="H882" s="64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2.75" customHeight="1" x14ac:dyDescent="0.2">
      <c r="A883" s="32"/>
      <c r="B883" s="32"/>
      <c r="C883" s="57"/>
      <c r="D883" s="32"/>
      <c r="E883" s="64"/>
      <c r="F883" s="64"/>
      <c r="G883" s="32"/>
      <c r="H883" s="64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2.75" customHeight="1" x14ac:dyDescent="0.2">
      <c r="A884" s="32"/>
      <c r="B884" s="32"/>
      <c r="C884" s="57"/>
      <c r="D884" s="32"/>
      <c r="E884" s="64"/>
      <c r="F884" s="64"/>
      <c r="G884" s="32"/>
      <c r="H884" s="64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2.75" customHeight="1" x14ac:dyDescent="0.2">
      <c r="A885" s="32"/>
      <c r="B885" s="32"/>
      <c r="C885" s="57"/>
      <c r="D885" s="32"/>
      <c r="E885" s="64"/>
      <c r="F885" s="64"/>
      <c r="G885" s="32"/>
      <c r="H885" s="64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2.75" customHeight="1" x14ac:dyDescent="0.2">
      <c r="A886" s="32"/>
      <c r="B886" s="32"/>
      <c r="C886" s="57"/>
      <c r="D886" s="32"/>
      <c r="E886" s="64"/>
      <c r="F886" s="64"/>
      <c r="G886" s="32"/>
      <c r="H886" s="64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2.75" customHeight="1" x14ac:dyDescent="0.2">
      <c r="A887" s="32"/>
      <c r="B887" s="32"/>
      <c r="C887" s="57"/>
      <c r="D887" s="32"/>
      <c r="E887" s="64"/>
      <c r="F887" s="64"/>
      <c r="G887" s="32"/>
      <c r="H887" s="64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2.75" customHeight="1" x14ac:dyDescent="0.2">
      <c r="A888" s="32"/>
      <c r="B888" s="32"/>
      <c r="C888" s="57"/>
      <c r="D888" s="32"/>
      <c r="E888" s="64"/>
      <c r="F888" s="64"/>
      <c r="G888" s="32"/>
      <c r="H888" s="64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2.75" customHeight="1" x14ac:dyDescent="0.2">
      <c r="A889" s="32"/>
      <c r="B889" s="32"/>
      <c r="C889" s="57"/>
      <c r="D889" s="32"/>
      <c r="E889" s="64"/>
      <c r="F889" s="64"/>
      <c r="G889" s="32"/>
      <c r="H889" s="64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2.75" customHeight="1" x14ac:dyDescent="0.2">
      <c r="A890" s="32"/>
      <c r="B890" s="32"/>
      <c r="C890" s="57"/>
      <c r="D890" s="32"/>
      <c r="E890" s="64"/>
      <c r="F890" s="64"/>
      <c r="G890" s="32"/>
      <c r="H890" s="64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2.75" customHeight="1" x14ac:dyDescent="0.2">
      <c r="A891" s="32"/>
      <c r="B891" s="32"/>
      <c r="C891" s="57"/>
      <c r="D891" s="32"/>
      <c r="E891" s="64"/>
      <c r="F891" s="64"/>
      <c r="G891" s="32"/>
      <c r="H891" s="64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2.75" customHeight="1" x14ac:dyDescent="0.2">
      <c r="A892" s="32"/>
      <c r="B892" s="32"/>
      <c r="C892" s="57"/>
      <c r="D892" s="32"/>
      <c r="E892" s="64"/>
      <c r="F892" s="64"/>
      <c r="G892" s="32"/>
      <c r="H892" s="64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2.75" customHeight="1" x14ac:dyDescent="0.2">
      <c r="A893" s="32"/>
      <c r="B893" s="32"/>
      <c r="C893" s="57"/>
      <c r="D893" s="32"/>
      <c r="E893" s="64"/>
      <c r="F893" s="64"/>
      <c r="G893" s="32"/>
      <c r="H893" s="64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2.75" customHeight="1" x14ac:dyDescent="0.2">
      <c r="A894" s="32"/>
      <c r="B894" s="32"/>
      <c r="C894" s="57"/>
      <c r="D894" s="32"/>
      <c r="E894" s="64"/>
      <c r="F894" s="64"/>
      <c r="G894" s="32"/>
      <c r="H894" s="64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2.75" customHeight="1" x14ac:dyDescent="0.2">
      <c r="A895" s="32"/>
      <c r="B895" s="32"/>
      <c r="C895" s="57"/>
      <c r="D895" s="32"/>
      <c r="E895" s="64"/>
      <c r="F895" s="64"/>
      <c r="G895" s="32"/>
      <c r="H895" s="64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2.75" customHeight="1" x14ac:dyDescent="0.2">
      <c r="A896" s="32"/>
      <c r="B896" s="32"/>
      <c r="C896" s="57"/>
      <c r="D896" s="32"/>
      <c r="E896" s="64"/>
      <c r="F896" s="64"/>
      <c r="G896" s="32"/>
      <c r="H896" s="64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2.75" customHeight="1" x14ac:dyDescent="0.2">
      <c r="A897" s="32"/>
      <c r="B897" s="32"/>
      <c r="C897" s="57"/>
      <c r="D897" s="32"/>
      <c r="E897" s="64"/>
      <c r="F897" s="64"/>
      <c r="G897" s="32"/>
      <c r="H897" s="64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2.75" customHeight="1" x14ac:dyDescent="0.2">
      <c r="A898" s="32"/>
      <c r="B898" s="32"/>
      <c r="C898" s="57"/>
      <c r="D898" s="32"/>
      <c r="E898" s="64"/>
      <c r="F898" s="64"/>
      <c r="G898" s="32"/>
      <c r="H898" s="64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2.75" customHeight="1" x14ac:dyDescent="0.2">
      <c r="A899" s="32"/>
      <c r="B899" s="32"/>
      <c r="C899" s="57"/>
      <c r="D899" s="32"/>
      <c r="E899" s="64"/>
      <c r="F899" s="64"/>
      <c r="G899" s="32"/>
      <c r="H899" s="64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2.75" customHeight="1" x14ac:dyDescent="0.2">
      <c r="A900" s="32"/>
      <c r="B900" s="32"/>
      <c r="C900" s="57"/>
      <c r="D900" s="32"/>
      <c r="E900" s="64"/>
      <c r="F900" s="64"/>
      <c r="G900" s="32"/>
      <c r="H900" s="64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2.75" customHeight="1" x14ac:dyDescent="0.2">
      <c r="A901" s="32"/>
      <c r="B901" s="32"/>
      <c r="C901" s="57"/>
      <c r="D901" s="32"/>
      <c r="E901" s="64"/>
      <c r="F901" s="64"/>
      <c r="G901" s="32"/>
      <c r="H901" s="64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2.75" customHeight="1" x14ac:dyDescent="0.2">
      <c r="A902" s="32"/>
      <c r="B902" s="32"/>
      <c r="C902" s="57"/>
      <c r="D902" s="32"/>
      <c r="E902" s="64"/>
      <c r="F902" s="64"/>
      <c r="G902" s="32"/>
      <c r="H902" s="64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2.75" customHeight="1" x14ac:dyDescent="0.2">
      <c r="A903" s="32"/>
      <c r="B903" s="32"/>
      <c r="C903" s="57"/>
      <c r="D903" s="32"/>
      <c r="E903" s="64"/>
      <c r="F903" s="64"/>
      <c r="G903" s="32"/>
      <c r="H903" s="64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2.75" customHeight="1" x14ac:dyDescent="0.2">
      <c r="A904" s="32"/>
      <c r="B904" s="32"/>
      <c r="C904" s="57"/>
      <c r="D904" s="32"/>
      <c r="E904" s="64"/>
      <c r="F904" s="64"/>
      <c r="G904" s="32"/>
      <c r="H904" s="64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2.75" customHeight="1" x14ac:dyDescent="0.2">
      <c r="A905" s="32"/>
      <c r="B905" s="32"/>
      <c r="C905" s="57"/>
      <c r="D905" s="32"/>
      <c r="E905" s="64"/>
      <c r="F905" s="64"/>
      <c r="G905" s="32"/>
      <c r="H905" s="64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2.75" customHeight="1" x14ac:dyDescent="0.2">
      <c r="A906" s="32"/>
      <c r="B906" s="32"/>
      <c r="C906" s="57"/>
      <c r="D906" s="32"/>
      <c r="E906" s="64"/>
      <c r="F906" s="64"/>
      <c r="G906" s="32"/>
      <c r="H906" s="64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2.75" customHeight="1" x14ac:dyDescent="0.2">
      <c r="A907" s="32"/>
      <c r="B907" s="32"/>
      <c r="C907" s="57"/>
      <c r="D907" s="32"/>
      <c r="E907" s="64"/>
      <c r="F907" s="64"/>
      <c r="G907" s="32"/>
      <c r="H907" s="64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2.75" customHeight="1" x14ac:dyDescent="0.2">
      <c r="A908" s="32"/>
      <c r="B908" s="32"/>
      <c r="C908" s="57"/>
      <c r="D908" s="32"/>
      <c r="E908" s="64"/>
      <c r="F908" s="64"/>
      <c r="G908" s="32"/>
      <c r="H908" s="64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2.75" customHeight="1" x14ac:dyDescent="0.2">
      <c r="A909" s="32"/>
      <c r="B909" s="32"/>
      <c r="C909" s="57"/>
      <c r="D909" s="32"/>
      <c r="E909" s="64"/>
      <c r="F909" s="64"/>
      <c r="G909" s="32"/>
      <c r="H909" s="64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2.75" customHeight="1" x14ac:dyDescent="0.2">
      <c r="A910" s="32"/>
      <c r="B910" s="32"/>
      <c r="C910" s="57"/>
      <c r="D910" s="32"/>
      <c r="E910" s="64"/>
      <c r="F910" s="64"/>
      <c r="G910" s="32"/>
      <c r="H910" s="64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2.75" customHeight="1" x14ac:dyDescent="0.2">
      <c r="A911" s="32"/>
      <c r="B911" s="32"/>
      <c r="C911" s="57"/>
      <c r="D911" s="32"/>
      <c r="E911" s="64"/>
      <c r="F911" s="64"/>
      <c r="G911" s="32"/>
      <c r="H911" s="64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2.75" customHeight="1" x14ac:dyDescent="0.2">
      <c r="A912" s="32"/>
      <c r="B912" s="32"/>
      <c r="C912" s="57"/>
      <c r="D912" s="32"/>
      <c r="E912" s="64"/>
      <c r="F912" s="64"/>
      <c r="G912" s="32"/>
      <c r="H912" s="64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2.75" customHeight="1" x14ac:dyDescent="0.2">
      <c r="A913" s="32"/>
      <c r="B913" s="32"/>
      <c r="C913" s="57"/>
      <c r="D913" s="32"/>
      <c r="E913" s="64"/>
      <c r="F913" s="64"/>
      <c r="G913" s="32"/>
      <c r="H913" s="64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2.75" customHeight="1" x14ac:dyDescent="0.2">
      <c r="A914" s="32"/>
      <c r="B914" s="32"/>
      <c r="C914" s="57"/>
      <c r="D914" s="32"/>
      <c r="E914" s="64"/>
      <c r="F914" s="64"/>
      <c r="G914" s="32"/>
      <c r="H914" s="64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2.75" customHeight="1" x14ac:dyDescent="0.2">
      <c r="A915" s="32"/>
      <c r="B915" s="32"/>
      <c r="C915" s="57"/>
      <c r="D915" s="32"/>
      <c r="E915" s="64"/>
      <c r="F915" s="64"/>
      <c r="G915" s="32"/>
      <c r="H915" s="64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2.75" customHeight="1" x14ac:dyDescent="0.2">
      <c r="A916" s="32"/>
      <c r="B916" s="32"/>
      <c r="C916" s="57"/>
      <c r="D916" s="32"/>
      <c r="E916" s="64"/>
      <c r="F916" s="64"/>
      <c r="G916" s="32"/>
      <c r="H916" s="64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2.75" customHeight="1" x14ac:dyDescent="0.2">
      <c r="A917" s="32"/>
      <c r="B917" s="32"/>
      <c r="C917" s="57"/>
      <c r="D917" s="32"/>
      <c r="E917" s="64"/>
      <c r="F917" s="64"/>
      <c r="G917" s="32"/>
      <c r="H917" s="64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2.75" customHeight="1" x14ac:dyDescent="0.2">
      <c r="A918" s="32"/>
      <c r="B918" s="32"/>
      <c r="C918" s="57"/>
      <c r="D918" s="32"/>
      <c r="E918" s="64"/>
      <c r="F918" s="64"/>
      <c r="G918" s="32"/>
      <c r="H918" s="64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2.75" customHeight="1" x14ac:dyDescent="0.2">
      <c r="A919" s="32"/>
      <c r="B919" s="32"/>
      <c r="C919" s="57"/>
      <c r="D919" s="32"/>
      <c r="E919" s="64"/>
      <c r="F919" s="64"/>
      <c r="G919" s="32"/>
      <c r="H919" s="64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2.75" customHeight="1" x14ac:dyDescent="0.2">
      <c r="A920" s="32"/>
      <c r="B920" s="32"/>
      <c r="C920" s="57"/>
      <c r="D920" s="32"/>
      <c r="E920" s="64"/>
      <c r="F920" s="64"/>
      <c r="G920" s="32"/>
      <c r="H920" s="64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2.75" customHeight="1" x14ac:dyDescent="0.2">
      <c r="A921" s="32"/>
      <c r="B921" s="32"/>
      <c r="C921" s="57"/>
      <c r="D921" s="32"/>
      <c r="E921" s="64"/>
      <c r="F921" s="64"/>
      <c r="G921" s="32"/>
      <c r="H921" s="64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2.75" customHeight="1" x14ac:dyDescent="0.2">
      <c r="A922" s="32"/>
      <c r="B922" s="32"/>
      <c r="C922" s="57"/>
      <c r="D922" s="32"/>
      <c r="E922" s="64"/>
      <c r="F922" s="64"/>
      <c r="G922" s="32"/>
      <c r="H922" s="64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2.75" customHeight="1" x14ac:dyDescent="0.2">
      <c r="A923" s="32"/>
      <c r="B923" s="32"/>
      <c r="C923" s="57"/>
      <c r="D923" s="32"/>
      <c r="E923" s="64"/>
      <c r="F923" s="64"/>
      <c r="G923" s="32"/>
      <c r="H923" s="64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2.75" customHeight="1" x14ac:dyDescent="0.2">
      <c r="A924" s="32"/>
      <c r="B924" s="32"/>
      <c r="C924" s="57"/>
      <c r="D924" s="32"/>
      <c r="E924" s="64"/>
      <c r="F924" s="64"/>
      <c r="G924" s="32"/>
      <c r="H924" s="64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2.75" customHeight="1" x14ac:dyDescent="0.2">
      <c r="A925" s="32"/>
      <c r="B925" s="32"/>
      <c r="C925" s="57"/>
      <c r="D925" s="32"/>
      <c r="E925" s="64"/>
      <c r="F925" s="64"/>
      <c r="G925" s="32"/>
      <c r="H925" s="64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2.75" customHeight="1" x14ac:dyDescent="0.2">
      <c r="A926" s="32"/>
      <c r="B926" s="32"/>
      <c r="C926" s="57"/>
      <c r="D926" s="32"/>
      <c r="E926" s="64"/>
      <c r="F926" s="64"/>
      <c r="G926" s="32"/>
      <c r="H926" s="64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2.75" customHeight="1" x14ac:dyDescent="0.2">
      <c r="A927" s="32"/>
      <c r="B927" s="32"/>
      <c r="C927" s="57"/>
      <c r="D927" s="32"/>
      <c r="E927" s="64"/>
      <c r="F927" s="64"/>
      <c r="G927" s="32"/>
      <c r="H927" s="64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2.75" customHeight="1" x14ac:dyDescent="0.2">
      <c r="A928" s="32"/>
      <c r="B928" s="32"/>
      <c r="C928" s="57"/>
      <c r="D928" s="32"/>
      <c r="E928" s="64"/>
      <c r="F928" s="64"/>
      <c r="G928" s="32"/>
      <c r="H928" s="64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2.75" customHeight="1" x14ac:dyDescent="0.2">
      <c r="A929" s="32"/>
      <c r="B929" s="32"/>
      <c r="C929" s="57"/>
      <c r="D929" s="32"/>
      <c r="E929" s="64"/>
      <c r="F929" s="64"/>
      <c r="G929" s="32"/>
      <c r="H929" s="64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2.75" customHeight="1" x14ac:dyDescent="0.2">
      <c r="A930" s="32"/>
      <c r="B930" s="32"/>
      <c r="C930" s="57"/>
      <c r="D930" s="32"/>
      <c r="E930" s="64"/>
      <c r="F930" s="64"/>
      <c r="G930" s="32"/>
      <c r="H930" s="64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2.75" customHeight="1" x14ac:dyDescent="0.2">
      <c r="A931" s="32"/>
      <c r="B931" s="32"/>
      <c r="C931" s="57"/>
      <c r="D931" s="32"/>
      <c r="E931" s="64"/>
      <c r="F931" s="64"/>
      <c r="G931" s="32"/>
      <c r="H931" s="64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2.75" customHeight="1" x14ac:dyDescent="0.2">
      <c r="A932" s="32"/>
      <c r="B932" s="32"/>
      <c r="C932" s="57"/>
      <c r="D932" s="32"/>
      <c r="E932" s="64"/>
      <c r="F932" s="64"/>
      <c r="G932" s="32"/>
      <c r="H932" s="64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2.75" customHeight="1" x14ac:dyDescent="0.2">
      <c r="A933" s="32"/>
      <c r="B933" s="32"/>
      <c r="C933" s="57"/>
      <c r="D933" s="32"/>
      <c r="E933" s="64"/>
      <c r="F933" s="64"/>
      <c r="G933" s="32"/>
      <c r="H933" s="64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2.75" customHeight="1" x14ac:dyDescent="0.2">
      <c r="A934" s="32"/>
      <c r="B934" s="32"/>
      <c r="C934" s="57"/>
      <c r="D934" s="32"/>
      <c r="E934" s="64"/>
      <c r="F934" s="64"/>
      <c r="G934" s="32"/>
      <c r="H934" s="64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2.75" customHeight="1" x14ac:dyDescent="0.2">
      <c r="A935" s="32"/>
      <c r="B935" s="32"/>
      <c r="C935" s="57"/>
      <c r="D935" s="32"/>
      <c r="E935" s="64"/>
      <c r="F935" s="64"/>
      <c r="G935" s="32"/>
      <c r="H935" s="64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2.75" customHeight="1" x14ac:dyDescent="0.2">
      <c r="A936" s="32"/>
      <c r="B936" s="32"/>
      <c r="C936" s="57"/>
      <c r="D936" s="32"/>
      <c r="E936" s="64"/>
      <c r="F936" s="64"/>
      <c r="G936" s="32"/>
      <c r="H936" s="64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2.75" customHeight="1" x14ac:dyDescent="0.2">
      <c r="A937" s="32"/>
      <c r="B937" s="32"/>
      <c r="C937" s="57"/>
      <c r="D937" s="32"/>
      <c r="E937" s="64"/>
      <c r="F937" s="64"/>
      <c r="G937" s="32"/>
      <c r="H937" s="64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2.75" customHeight="1" x14ac:dyDescent="0.2">
      <c r="A938" s="32"/>
      <c r="B938" s="32"/>
      <c r="C938" s="57"/>
      <c r="D938" s="32"/>
      <c r="E938" s="64"/>
      <c r="F938" s="64"/>
      <c r="G938" s="32"/>
      <c r="H938" s="64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2.75" customHeight="1" x14ac:dyDescent="0.2">
      <c r="A939" s="32"/>
      <c r="B939" s="32"/>
      <c r="C939" s="57"/>
      <c r="D939" s="32"/>
      <c r="E939" s="64"/>
      <c r="F939" s="64"/>
      <c r="G939" s="32"/>
      <c r="H939" s="64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2.75" customHeight="1" x14ac:dyDescent="0.2">
      <c r="A940" s="32"/>
      <c r="B940" s="32"/>
      <c r="C940" s="57"/>
      <c r="D940" s="32"/>
      <c r="E940" s="64"/>
      <c r="F940" s="64"/>
      <c r="G940" s="32"/>
      <c r="H940" s="64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2.75" customHeight="1" x14ac:dyDescent="0.2">
      <c r="A941" s="32"/>
      <c r="B941" s="32"/>
      <c r="C941" s="57"/>
      <c r="D941" s="32"/>
      <c r="E941" s="64"/>
      <c r="F941" s="64"/>
      <c r="G941" s="32"/>
      <c r="H941" s="64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2.75" customHeight="1" x14ac:dyDescent="0.2">
      <c r="A942" s="32"/>
      <c r="B942" s="32"/>
      <c r="C942" s="57"/>
      <c r="D942" s="32"/>
      <c r="E942" s="64"/>
      <c r="F942" s="64"/>
      <c r="G942" s="32"/>
      <c r="H942" s="64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2.75" customHeight="1" x14ac:dyDescent="0.2">
      <c r="A943" s="32"/>
      <c r="B943" s="32"/>
      <c r="C943" s="57"/>
      <c r="D943" s="32"/>
      <c r="E943" s="64"/>
      <c r="F943" s="64"/>
      <c r="G943" s="32"/>
      <c r="H943" s="64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2.75" customHeight="1" x14ac:dyDescent="0.2">
      <c r="A944" s="32"/>
      <c r="B944" s="32"/>
      <c r="C944" s="57"/>
      <c r="D944" s="32"/>
      <c r="E944" s="64"/>
      <c r="F944" s="64"/>
      <c r="G944" s="32"/>
      <c r="H944" s="64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2.75" customHeight="1" x14ac:dyDescent="0.2">
      <c r="A945" s="32"/>
      <c r="B945" s="32"/>
      <c r="C945" s="57"/>
      <c r="D945" s="32"/>
      <c r="E945" s="64"/>
      <c r="F945" s="64"/>
      <c r="G945" s="32"/>
      <c r="H945" s="64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2.75" customHeight="1" x14ac:dyDescent="0.2">
      <c r="A946" s="32"/>
      <c r="B946" s="32"/>
      <c r="C946" s="57"/>
      <c r="D946" s="32"/>
      <c r="E946" s="64"/>
      <c r="F946" s="64"/>
      <c r="G946" s="32"/>
      <c r="H946" s="64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2.75" customHeight="1" x14ac:dyDescent="0.2">
      <c r="A947" s="32"/>
      <c r="B947" s="32"/>
      <c r="C947" s="57"/>
      <c r="D947" s="32"/>
      <c r="E947" s="64"/>
      <c r="F947" s="64"/>
      <c r="G947" s="32"/>
      <c r="H947" s="64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2.75" customHeight="1" x14ac:dyDescent="0.2">
      <c r="A948" s="32"/>
      <c r="B948" s="32"/>
      <c r="C948" s="57"/>
      <c r="D948" s="32"/>
      <c r="E948" s="64"/>
      <c r="F948" s="64"/>
      <c r="G948" s="32"/>
      <c r="H948" s="64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2.75" customHeight="1" x14ac:dyDescent="0.2">
      <c r="A949" s="32"/>
      <c r="B949" s="32"/>
      <c r="C949" s="57"/>
      <c r="D949" s="32"/>
      <c r="E949" s="64"/>
      <c r="F949" s="64"/>
      <c r="G949" s="32"/>
      <c r="H949" s="64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2.75" customHeight="1" x14ac:dyDescent="0.2">
      <c r="A950" s="32"/>
      <c r="B950" s="32"/>
      <c r="C950" s="57"/>
      <c r="D950" s="32"/>
      <c r="E950" s="64"/>
      <c r="F950" s="64"/>
      <c r="G950" s="32"/>
      <c r="H950" s="64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2.75" customHeight="1" x14ac:dyDescent="0.2">
      <c r="A951" s="32"/>
      <c r="B951" s="32"/>
      <c r="C951" s="57"/>
      <c r="D951" s="32"/>
      <c r="E951" s="64"/>
      <c r="F951" s="64"/>
      <c r="G951" s="32"/>
      <c r="H951" s="64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2.75" customHeight="1" x14ac:dyDescent="0.2">
      <c r="A952" s="32"/>
      <c r="B952" s="32"/>
      <c r="C952" s="57"/>
      <c r="D952" s="32"/>
      <c r="E952" s="64"/>
      <c r="F952" s="64"/>
      <c r="G952" s="32"/>
      <c r="H952" s="64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2.75" customHeight="1" x14ac:dyDescent="0.2">
      <c r="A953" s="32"/>
      <c r="B953" s="32"/>
      <c r="C953" s="57"/>
      <c r="D953" s="32"/>
      <c r="E953" s="64"/>
      <c r="F953" s="64"/>
      <c r="G953" s="32"/>
      <c r="H953" s="64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2.75" customHeight="1" x14ac:dyDescent="0.2">
      <c r="A954" s="32"/>
      <c r="B954" s="32"/>
      <c r="C954" s="57"/>
      <c r="D954" s="32"/>
      <c r="E954" s="64"/>
      <c r="F954" s="64"/>
      <c r="G954" s="32"/>
      <c r="H954" s="64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2.75" customHeight="1" x14ac:dyDescent="0.2">
      <c r="A955" s="32"/>
      <c r="B955" s="32"/>
      <c r="C955" s="57"/>
      <c r="D955" s="32"/>
      <c r="E955" s="64"/>
      <c r="F955" s="64"/>
      <c r="G955" s="32"/>
      <c r="H955" s="64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2.75" customHeight="1" x14ac:dyDescent="0.2">
      <c r="A956" s="32"/>
      <c r="B956" s="32"/>
      <c r="C956" s="57"/>
      <c r="D956" s="32"/>
      <c r="E956" s="64"/>
      <c r="F956" s="64"/>
      <c r="G956" s="32"/>
      <c r="H956" s="64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2.75" customHeight="1" x14ac:dyDescent="0.2">
      <c r="A957" s="32"/>
      <c r="B957" s="32"/>
      <c r="C957" s="57"/>
      <c r="D957" s="32"/>
      <c r="E957" s="64"/>
      <c r="F957" s="64"/>
      <c r="G957" s="32"/>
      <c r="H957" s="64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2.75" customHeight="1" x14ac:dyDescent="0.2">
      <c r="A958" s="32"/>
      <c r="B958" s="32"/>
      <c r="C958" s="57"/>
      <c r="D958" s="32"/>
      <c r="E958" s="64"/>
      <c r="F958" s="64"/>
      <c r="G958" s="32"/>
      <c r="H958" s="64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2.75" customHeight="1" x14ac:dyDescent="0.2">
      <c r="A959" s="32"/>
      <c r="B959" s="32"/>
      <c r="C959" s="57"/>
      <c r="D959" s="32"/>
      <c r="E959" s="64"/>
      <c r="F959" s="64"/>
      <c r="G959" s="32"/>
      <c r="H959" s="64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2.75" customHeight="1" x14ac:dyDescent="0.2">
      <c r="A960" s="32"/>
      <c r="B960" s="32"/>
      <c r="C960" s="57"/>
      <c r="D960" s="32"/>
      <c r="E960" s="64"/>
      <c r="F960" s="64"/>
      <c r="G960" s="32"/>
      <c r="H960" s="64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2.75" customHeight="1" x14ac:dyDescent="0.2">
      <c r="A961" s="32"/>
      <c r="B961" s="32"/>
      <c r="C961" s="57"/>
      <c r="D961" s="32"/>
      <c r="E961" s="64"/>
      <c r="F961" s="64"/>
      <c r="G961" s="32"/>
      <c r="H961" s="64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2.75" customHeight="1" x14ac:dyDescent="0.2">
      <c r="A962" s="32"/>
      <c r="B962" s="32"/>
      <c r="C962" s="57"/>
      <c r="D962" s="32"/>
      <c r="E962" s="64"/>
      <c r="F962" s="64"/>
      <c r="G962" s="32"/>
      <c r="H962" s="64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2.75" customHeight="1" x14ac:dyDescent="0.2">
      <c r="A963" s="32"/>
      <c r="B963" s="32"/>
      <c r="C963" s="57"/>
      <c r="D963" s="32"/>
      <c r="E963" s="64"/>
      <c r="F963" s="64"/>
      <c r="G963" s="32"/>
      <c r="H963" s="64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2.75" customHeight="1" x14ac:dyDescent="0.2">
      <c r="A964" s="32"/>
      <c r="B964" s="32"/>
      <c r="C964" s="57"/>
      <c r="D964" s="32"/>
      <c r="E964" s="64"/>
      <c r="F964" s="64"/>
      <c r="G964" s="32"/>
      <c r="H964" s="64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2.75" customHeight="1" x14ac:dyDescent="0.2">
      <c r="A965" s="32"/>
      <c r="B965" s="32"/>
      <c r="C965" s="57"/>
      <c r="D965" s="32"/>
      <c r="E965" s="64"/>
      <c r="F965" s="64"/>
      <c r="G965" s="32"/>
      <c r="H965" s="64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2.75" customHeight="1" x14ac:dyDescent="0.2">
      <c r="A966" s="32"/>
      <c r="B966" s="32"/>
      <c r="C966" s="57"/>
      <c r="D966" s="32"/>
      <c r="E966" s="64"/>
      <c r="F966" s="64"/>
      <c r="G966" s="32"/>
      <c r="H966" s="64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2.75" customHeight="1" x14ac:dyDescent="0.2">
      <c r="A967" s="32"/>
      <c r="B967" s="32"/>
      <c r="C967" s="57"/>
      <c r="D967" s="32"/>
      <c r="E967" s="64"/>
      <c r="F967" s="64"/>
      <c r="G967" s="32"/>
      <c r="H967" s="64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2.75" customHeight="1" x14ac:dyDescent="0.2">
      <c r="A968" s="32"/>
      <c r="B968" s="32"/>
      <c r="C968" s="57"/>
      <c r="D968" s="32"/>
      <c r="E968" s="64"/>
      <c r="F968" s="64"/>
      <c r="G968" s="32"/>
      <c r="H968" s="64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2.75" customHeight="1" x14ac:dyDescent="0.2">
      <c r="A969" s="32"/>
      <c r="B969" s="32"/>
      <c r="C969" s="57"/>
      <c r="D969" s="32"/>
      <c r="E969" s="64"/>
      <c r="F969" s="64"/>
      <c r="G969" s="32"/>
      <c r="H969" s="64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2.75" customHeight="1" x14ac:dyDescent="0.2">
      <c r="A970" s="32"/>
      <c r="B970" s="32"/>
      <c r="C970" s="57"/>
      <c r="D970" s="32"/>
      <c r="E970" s="64"/>
      <c r="F970" s="64"/>
      <c r="G970" s="32"/>
      <c r="H970" s="64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2.75" customHeight="1" x14ac:dyDescent="0.2">
      <c r="A971" s="32"/>
      <c r="B971" s="32"/>
      <c r="C971" s="57"/>
      <c r="D971" s="32"/>
      <c r="E971" s="64"/>
      <c r="F971" s="64"/>
      <c r="G971" s="32"/>
      <c r="H971" s="64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2.75" customHeight="1" x14ac:dyDescent="0.2">
      <c r="A972" s="32"/>
      <c r="B972" s="32"/>
      <c r="C972" s="57"/>
      <c r="D972" s="32"/>
      <c r="E972" s="64"/>
      <c r="F972" s="64"/>
      <c r="G972" s="32"/>
      <c r="H972" s="64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2.75" customHeight="1" x14ac:dyDescent="0.2">
      <c r="A973" s="32"/>
      <c r="B973" s="32"/>
      <c r="C973" s="57"/>
      <c r="D973" s="32"/>
      <c r="E973" s="64"/>
      <c r="F973" s="64"/>
      <c r="G973" s="32"/>
      <c r="H973" s="64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2.75" customHeight="1" x14ac:dyDescent="0.2">
      <c r="A974" s="32"/>
      <c r="B974" s="32"/>
      <c r="C974" s="57"/>
      <c r="D974" s="32"/>
      <c r="E974" s="64"/>
      <c r="F974" s="64"/>
      <c r="G974" s="32"/>
      <c r="H974" s="64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2.75" customHeight="1" x14ac:dyDescent="0.2">
      <c r="A975" s="32"/>
      <c r="B975" s="32"/>
      <c r="C975" s="57"/>
      <c r="D975" s="32"/>
      <c r="E975" s="64"/>
      <c r="F975" s="64"/>
      <c r="G975" s="32"/>
      <c r="H975" s="64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2.75" customHeight="1" x14ac:dyDescent="0.2">
      <c r="A976" s="32"/>
      <c r="B976" s="32"/>
      <c r="C976" s="57"/>
      <c r="D976" s="32"/>
      <c r="E976" s="64"/>
      <c r="F976" s="64"/>
      <c r="G976" s="32"/>
      <c r="H976" s="64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2.75" customHeight="1" x14ac:dyDescent="0.2">
      <c r="A977" s="32"/>
      <c r="B977" s="32"/>
      <c r="C977" s="57"/>
      <c r="D977" s="32"/>
      <c r="E977" s="64"/>
      <c r="F977" s="64"/>
      <c r="G977" s="32"/>
      <c r="H977" s="64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2.75" customHeight="1" x14ac:dyDescent="0.2">
      <c r="A978" s="32"/>
      <c r="B978" s="32"/>
      <c r="C978" s="57"/>
      <c r="D978" s="32"/>
      <c r="E978" s="64"/>
      <c r="F978" s="64"/>
      <c r="G978" s="32"/>
      <c r="H978" s="64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2.75" customHeight="1" x14ac:dyDescent="0.2">
      <c r="A979" s="32"/>
      <c r="B979" s="32"/>
      <c r="C979" s="57"/>
      <c r="D979" s="32"/>
      <c r="E979" s="64"/>
      <c r="F979" s="64"/>
      <c r="G979" s="32"/>
      <c r="H979" s="64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2.75" customHeight="1" x14ac:dyDescent="0.2">
      <c r="A980" s="32"/>
      <c r="B980" s="32"/>
      <c r="C980" s="57"/>
      <c r="D980" s="32"/>
      <c r="E980" s="64"/>
      <c r="F980" s="64"/>
      <c r="G980" s="32"/>
      <c r="H980" s="64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2.75" customHeight="1" x14ac:dyDescent="0.2">
      <c r="A981" s="32"/>
      <c r="B981" s="32"/>
      <c r="C981" s="57"/>
      <c r="D981" s="32"/>
      <c r="E981" s="64"/>
      <c r="F981" s="64"/>
      <c r="G981" s="32"/>
      <c r="H981" s="64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2.75" customHeight="1" x14ac:dyDescent="0.2">
      <c r="A982" s="32"/>
      <c r="B982" s="32"/>
      <c r="C982" s="57"/>
      <c r="D982" s="32"/>
      <c r="E982" s="64"/>
      <c r="F982" s="64"/>
      <c r="G982" s="32"/>
      <c r="H982" s="64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2.75" customHeight="1" x14ac:dyDescent="0.2">
      <c r="A983" s="32"/>
      <c r="B983" s="32"/>
      <c r="C983" s="57"/>
      <c r="D983" s="32"/>
      <c r="E983" s="64"/>
      <c r="F983" s="64"/>
      <c r="G983" s="32"/>
      <c r="H983" s="64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2.75" customHeight="1" x14ac:dyDescent="0.2">
      <c r="A984" s="32"/>
      <c r="B984" s="32"/>
      <c r="C984" s="57"/>
      <c r="D984" s="32"/>
      <c r="E984" s="64"/>
      <c r="F984" s="64"/>
      <c r="G984" s="32"/>
      <c r="H984" s="64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2.75" customHeight="1" x14ac:dyDescent="0.2">
      <c r="A985" s="32"/>
      <c r="B985" s="32"/>
      <c r="C985" s="57"/>
      <c r="D985" s="32"/>
      <c r="E985" s="64"/>
      <c r="F985" s="64"/>
      <c r="G985" s="32"/>
      <c r="H985" s="64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2.75" customHeight="1" x14ac:dyDescent="0.2">
      <c r="A986" s="32"/>
      <c r="B986" s="32"/>
      <c r="C986" s="57"/>
      <c r="D986" s="32"/>
      <c r="E986" s="64"/>
      <c r="F986" s="64"/>
      <c r="G986" s="32"/>
      <c r="H986" s="64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2.75" customHeight="1" x14ac:dyDescent="0.2">
      <c r="A987" s="32"/>
      <c r="B987" s="32"/>
      <c r="C987" s="57"/>
      <c r="D987" s="32"/>
      <c r="E987" s="64"/>
      <c r="F987" s="64"/>
      <c r="G987" s="32"/>
      <c r="H987" s="64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2.75" customHeight="1" x14ac:dyDescent="0.2">
      <c r="A988" s="32"/>
      <c r="B988" s="32"/>
      <c r="C988" s="57"/>
      <c r="D988" s="32"/>
      <c r="E988" s="64"/>
      <c r="F988" s="64"/>
      <c r="G988" s="32"/>
      <c r="H988" s="64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2.75" customHeight="1" x14ac:dyDescent="0.2">
      <c r="A989" s="32"/>
      <c r="B989" s="32"/>
      <c r="C989" s="57"/>
      <c r="D989" s="32"/>
      <c r="E989" s="64"/>
      <c r="F989" s="64"/>
      <c r="G989" s="32"/>
      <c r="H989" s="64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2.75" customHeight="1" x14ac:dyDescent="0.2">
      <c r="A990" s="32"/>
      <c r="B990" s="32"/>
      <c r="C990" s="57"/>
      <c r="D990" s="32"/>
      <c r="E990" s="64"/>
      <c r="F990" s="64"/>
      <c r="G990" s="32"/>
      <c r="H990" s="64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2.75" customHeight="1" x14ac:dyDescent="0.2">
      <c r="A991" s="32"/>
      <c r="B991" s="32"/>
      <c r="C991" s="57"/>
      <c r="D991" s="32"/>
      <c r="E991" s="64"/>
      <c r="F991" s="64"/>
      <c r="G991" s="32"/>
      <c r="H991" s="64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2.75" customHeight="1" x14ac:dyDescent="0.2">
      <c r="A992" s="32"/>
      <c r="B992" s="32"/>
      <c r="C992" s="57"/>
      <c r="D992" s="32"/>
      <c r="E992" s="64"/>
      <c r="F992" s="64"/>
      <c r="G992" s="32"/>
      <c r="H992" s="64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2.75" customHeight="1" x14ac:dyDescent="0.2">
      <c r="A993" s="32"/>
      <c r="B993" s="32"/>
      <c r="C993" s="57"/>
      <c r="D993" s="32"/>
      <c r="E993" s="64"/>
      <c r="F993" s="64"/>
      <c r="G993" s="32"/>
      <c r="H993" s="64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2.75" customHeight="1" x14ac:dyDescent="0.2">
      <c r="A994" s="32"/>
      <c r="B994" s="32"/>
      <c r="C994" s="57"/>
      <c r="D994" s="32"/>
      <c r="E994" s="64"/>
      <c r="F994" s="64"/>
      <c r="G994" s="32"/>
      <c r="H994" s="64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2.75" customHeight="1" x14ac:dyDescent="0.2">
      <c r="A995" s="32"/>
      <c r="B995" s="32"/>
      <c r="C995" s="57"/>
      <c r="D995" s="32"/>
      <c r="E995" s="64"/>
      <c r="F995" s="64"/>
      <c r="G995" s="32"/>
      <c r="H995" s="64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2.75" customHeight="1" x14ac:dyDescent="0.2">
      <c r="A996" s="32"/>
      <c r="B996" s="32"/>
      <c r="C996" s="57"/>
      <c r="D996" s="32"/>
      <c r="E996" s="64"/>
      <c r="F996" s="64"/>
      <c r="G996" s="32"/>
      <c r="H996" s="64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2.75" customHeight="1" x14ac:dyDescent="0.2">
      <c r="A997" s="32"/>
      <c r="B997" s="32"/>
      <c r="C997" s="57"/>
      <c r="D997" s="32"/>
      <c r="E997" s="64"/>
      <c r="F997" s="64"/>
      <c r="G997" s="32"/>
      <c r="H997" s="64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2.75" customHeight="1" x14ac:dyDescent="0.2">
      <c r="A998" s="32"/>
      <c r="B998" s="32"/>
      <c r="C998" s="57"/>
      <c r="D998" s="32"/>
      <c r="E998" s="64"/>
      <c r="F998" s="64"/>
      <c r="G998" s="32"/>
      <c r="H998" s="64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2.75" customHeight="1" x14ac:dyDescent="0.2">
      <c r="A999" s="32"/>
      <c r="B999" s="32"/>
      <c r="C999" s="57"/>
      <c r="D999" s="32"/>
      <c r="E999" s="64"/>
      <c r="F999" s="64"/>
      <c r="G999" s="32"/>
      <c r="H999" s="64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2.75" customHeight="1" x14ac:dyDescent="0.2">
      <c r="A1000" s="32"/>
      <c r="B1000" s="32"/>
      <c r="C1000" s="57"/>
      <c r="D1000" s="32"/>
      <c r="E1000" s="64"/>
      <c r="F1000" s="64"/>
      <c r="G1000" s="32"/>
      <c r="H1000" s="64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  <row r="1001" spans="1:26" ht="12.75" customHeight="1" x14ac:dyDescent="0.2">
      <c r="A1001" s="32"/>
      <c r="B1001" s="32"/>
      <c r="C1001" s="57"/>
      <c r="D1001" s="32"/>
      <c r="E1001" s="64"/>
      <c r="F1001" s="64"/>
      <c r="G1001" s="32"/>
      <c r="H1001" s="64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</row>
    <row r="1002" spans="1:26" ht="12.75" customHeight="1" x14ac:dyDescent="0.2">
      <c r="A1002" s="32"/>
      <c r="B1002" s="32"/>
      <c r="C1002" s="57"/>
      <c r="D1002" s="32"/>
      <c r="E1002" s="64"/>
      <c r="F1002" s="64"/>
      <c r="G1002" s="32"/>
      <c r="H1002" s="64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</row>
    <row r="1003" spans="1:26" ht="12.75" customHeight="1" x14ac:dyDescent="0.2">
      <c r="A1003" s="32"/>
      <c r="B1003" s="32"/>
      <c r="C1003" s="57"/>
      <c r="D1003" s="32"/>
      <c r="E1003" s="64"/>
      <c r="F1003" s="64"/>
      <c r="G1003" s="32"/>
      <c r="H1003" s="64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X993"/>
  <sheetViews>
    <sheetView view="pageBreakPreview" topLeftCell="A41" zoomScaleNormal="100" zoomScaleSheetLayoutView="100" workbookViewId="0">
      <selection activeCell="C52" sqref="C52"/>
    </sheetView>
  </sheetViews>
  <sheetFormatPr baseColWidth="10" defaultColWidth="14.42578125" defaultRowHeight="15" customHeight="1" x14ac:dyDescent="0.2"/>
  <cols>
    <col min="1" max="1" width="71" customWidth="1"/>
    <col min="2" max="2" width="4.42578125" customWidth="1"/>
    <col min="3" max="3" width="10.42578125" customWidth="1"/>
    <col min="4" max="4" width="14.140625" style="77" customWidth="1"/>
    <col min="5" max="5" width="7.28515625" bestFit="1" customWidth="1"/>
    <col min="6" max="15" width="4.7109375" customWidth="1"/>
    <col min="16" max="17" width="4.7109375" style="72" customWidth="1"/>
    <col min="18" max="24" width="10.7109375" customWidth="1"/>
  </cols>
  <sheetData>
    <row r="1" spans="1:24" ht="12.75" customHeight="1" x14ac:dyDescent="0.2">
      <c r="A1" s="121" t="s">
        <v>85</v>
      </c>
      <c r="B1" s="121" t="s">
        <v>86</v>
      </c>
      <c r="C1" s="122" t="s">
        <v>87</v>
      </c>
      <c r="D1" s="76"/>
      <c r="E1" s="32"/>
      <c r="F1" s="57"/>
      <c r="G1" s="61"/>
      <c r="I1" s="32"/>
      <c r="J1" s="32"/>
    </row>
    <row r="2" spans="1:24" ht="12.75" customHeight="1" x14ac:dyDescent="0.2">
      <c r="A2" s="123" t="s">
        <v>88</v>
      </c>
      <c r="B2" s="124"/>
      <c r="C2" s="125"/>
      <c r="D2" s="76"/>
      <c r="E2" s="57"/>
      <c r="F2" s="60"/>
      <c r="G2" s="5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2.75" customHeight="1" x14ac:dyDescent="0.2">
      <c r="A3" s="125" t="s">
        <v>89</v>
      </c>
      <c r="B3" s="124" t="s">
        <v>90</v>
      </c>
      <c r="C3" s="126">
        <v>1</v>
      </c>
      <c r="D3" s="76"/>
      <c r="E3" s="57"/>
      <c r="F3" s="60"/>
      <c r="G3" s="57"/>
      <c r="I3" s="32"/>
      <c r="J3" s="32"/>
    </row>
    <row r="4" spans="1:24" ht="12.75" customHeight="1" x14ac:dyDescent="0.2">
      <c r="A4" s="127" t="s">
        <v>178</v>
      </c>
      <c r="B4" s="124" t="s">
        <v>90</v>
      </c>
      <c r="C4" s="126">
        <v>1</v>
      </c>
      <c r="D4" s="76"/>
      <c r="E4" s="57"/>
      <c r="F4" s="60"/>
      <c r="G4" s="57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</row>
    <row r="5" spans="1:24" ht="12.75" customHeight="1" x14ac:dyDescent="0.2">
      <c r="A5" s="125"/>
      <c r="B5" s="124"/>
      <c r="C5" s="126"/>
      <c r="D5" s="76"/>
      <c r="E5" s="57"/>
      <c r="F5" s="60"/>
      <c r="G5" s="57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2.75" customHeight="1" x14ac:dyDescent="0.2">
      <c r="A6" s="128" t="s">
        <v>91</v>
      </c>
      <c r="B6" s="124"/>
      <c r="C6" s="126"/>
      <c r="D6" s="76"/>
      <c r="E6" s="57"/>
      <c r="F6" s="60"/>
      <c r="G6" s="5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1:24" ht="12.75" customHeight="1" x14ac:dyDescent="0.2">
      <c r="A7" s="125" t="s">
        <v>92</v>
      </c>
      <c r="B7" s="124" t="s">
        <v>93</v>
      </c>
      <c r="C7" s="126">
        <f>+Hormigon!H14</f>
        <v>523.92212184873938</v>
      </c>
      <c r="D7" s="76"/>
      <c r="E7" s="57"/>
      <c r="F7" s="60"/>
      <c r="G7" s="57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2.75" customHeight="1" x14ac:dyDescent="0.2">
      <c r="A8" s="125" t="s">
        <v>94</v>
      </c>
      <c r="B8" s="124" t="s">
        <v>95</v>
      </c>
      <c r="C8" s="126">
        <f>+Hormigon!H15</f>
        <v>78.068951999999982</v>
      </c>
      <c r="D8" s="76"/>
      <c r="E8" s="57"/>
      <c r="F8" s="60"/>
      <c r="G8" s="57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ht="12.75" customHeight="1" x14ac:dyDescent="0.2">
      <c r="A9" s="125" t="s">
        <v>96</v>
      </c>
      <c r="B9" s="124" t="s">
        <v>95</v>
      </c>
      <c r="C9" s="126">
        <f>+(C8-C14)*1.25</f>
        <v>32.528729999999996</v>
      </c>
      <c r="D9" s="76"/>
      <c r="E9" s="57"/>
      <c r="F9" s="60"/>
      <c r="G9" s="57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</row>
    <row r="10" spans="1:24" ht="12.75" customHeight="1" x14ac:dyDescent="0.2">
      <c r="A10" s="125"/>
      <c r="B10" s="124"/>
      <c r="C10" s="126"/>
      <c r="D10" s="76"/>
      <c r="E10" s="57"/>
      <c r="F10" s="60"/>
      <c r="G10" s="57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</row>
    <row r="11" spans="1:24" ht="12.75" customHeight="1" x14ac:dyDescent="0.2">
      <c r="A11" s="128" t="s">
        <v>97</v>
      </c>
      <c r="B11" s="124"/>
      <c r="C11" s="126"/>
      <c r="D11" s="76"/>
      <c r="E11" s="57"/>
      <c r="F11" s="60"/>
      <c r="G11" s="57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 ht="12.75" customHeight="1" x14ac:dyDescent="0.2">
      <c r="A12" s="125" t="s">
        <v>98</v>
      </c>
      <c r="B12" s="124" t="s">
        <v>99</v>
      </c>
      <c r="C12" s="126">
        <f>12*4</f>
        <v>48</v>
      </c>
      <c r="D12" s="76"/>
      <c r="E12" s="57"/>
      <c r="F12" s="60"/>
      <c r="G12" s="57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ht="12.75" customHeight="1" x14ac:dyDescent="0.2">
      <c r="A13" s="125" t="s">
        <v>100</v>
      </c>
      <c r="B13" s="124" t="s">
        <v>95</v>
      </c>
      <c r="C13" s="126">
        <f>+Hormigon!H4</f>
        <v>57.250564799999992</v>
      </c>
      <c r="D13" s="76"/>
      <c r="E13" s="62"/>
      <c r="F13" s="60"/>
      <c r="G13" s="57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 ht="12.75" customHeight="1" x14ac:dyDescent="0.2">
      <c r="A14" s="127" t="s">
        <v>179</v>
      </c>
      <c r="B14" s="124" t="s">
        <v>95</v>
      </c>
      <c r="C14" s="126">
        <f>+Hormigon!H5+Hormigon!H6</f>
        <v>52.045967999999988</v>
      </c>
      <c r="D14" s="76"/>
      <c r="E14" s="57"/>
      <c r="F14" s="60"/>
      <c r="G14" s="57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 ht="12.75" customHeight="1" x14ac:dyDescent="0.2">
      <c r="A15" s="125" t="s">
        <v>101</v>
      </c>
      <c r="B15" s="124" t="s">
        <v>95</v>
      </c>
      <c r="C15" s="126">
        <f>+Hormigon!H7</f>
        <v>130.11491999999998</v>
      </c>
      <c r="D15" s="76"/>
      <c r="E15" s="57"/>
      <c r="F15" s="60"/>
      <c r="G15" s="57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 ht="12.75" customHeight="1" x14ac:dyDescent="0.2">
      <c r="A16" s="125" t="s">
        <v>102</v>
      </c>
      <c r="B16" s="124" t="s">
        <v>95</v>
      </c>
      <c r="C16" s="126">
        <f>+Hormigon!H8</f>
        <v>98.887339199999985</v>
      </c>
      <c r="D16" s="76"/>
      <c r="E16" s="57"/>
      <c r="F16" s="60"/>
      <c r="G16" s="57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 ht="12.75" customHeight="1" x14ac:dyDescent="0.2">
      <c r="A17" s="125" t="s">
        <v>103</v>
      </c>
      <c r="B17" s="124" t="s">
        <v>95</v>
      </c>
      <c r="C17" s="126">
        <f>+Hormigon!H9</f>
        <v>182.16088799999997</v>
      </c>
      <c r="D17" s="76"/>
      <c r="E17" s="57"/>
      <c r="F17" s="60"/>
      <c r="G17" s="57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 ht="12.75" customHeight="1" x14ac:dyDescent="0.2">
      <c r="A18" s="125" t="s">
        <v>104</v>
      </c>
      <c r="B18" s="124" t="s">
        <v>95</v>
      </c>
      <c r="C18" s="126">
        <f>2+1.5*10</f>
        <v>17</v>
      </c>
      <c r="D18" s="76"/>
      <c r="E18" s="57"/>
      <c r="F18" s="60"/>
      <c r="G18" s="57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 ht="12.75" customHeight="1" x14ac:dyDescent="0.2">
      <c r="A19" s="125" t="s">
        <v>105</v>
      </c>
      <c r="B19" s="124" t="s">
        <v>99</v>
      </c>
      <c r="C19" s="126">
        <f>+'Rev. exterior'!O17</f>
        <v>395.88599999999997</v>
      </c>
      <c r="D19" s="76"/>
      <c r="E19" s="57"/>
      <c r="F19" s="60"/>
      <c r="G19" s="57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 ht="12.75" customHeight="1" x14ac:dyDescent="0.2">
      <c r="A20" s="125" t="s">
        <v>106</v>
      </c>
      <c r="B20" s="124" t="s">
        <v>95</v>
      </c>
      <c r="C20" s="126">
        <f>+Mamposterias!D19</f>
        <v>9.147359999999999</v>
      </c>
      <c r="D20" s="76"/>
      <c r="E20" s="57"/>
      <c r="F20" s="60"/>
      <c r="G20" s="57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 ht="12.75" customHeight="1" x14ac:dyDescent="0.2">
      <c r="A21" s="125"/>
      <c r="B21" s="124"/>
      <c r="C21" s="126"/>
      <c r="D21" s="76"/>
      <c r="E21" s="57"/>
      <c r="F21" s="60"/>
      <c r="G21" s="57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 ht="12.75" customHeight="1" x14ac:dyDescent="0.2">
      <c r="A22" s="128" t="s">
        <v>107</v>
      </c>
      <c r="B22" s="124"/>
      <c r="C22" s="126"/>
      <c r="D22" s="76"/>
      <c r="E22" s="57"/>
      <c r="F22" s="60"/>
      <c r="G22" s="57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 s="63" customFormat="1" ht="12.75" customHeight="1" x14ac:dyDescent="0.2">
      <c r="A23" s="125" t="s">
        <v>169</v>
      </c>
      <c r="B23" s="124" t="s">
        <v>99</v>
      </c>
      <c r="C23" s="126">
        <f>5*8.66</f>
        <v>43.3</v>
      </c>
      <c r="D23" s="76"/>
      <c r="E23" s="57"/>
      <c r="F23" s="60"/>
      <c r="G23" s="57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 ht="12.75" customHeight="1" x14ac:dyDescent="0.2">
      <c r="A24" s="125"/>
      <c r="B24" s="124"/>
      <c r="C24" s="126"/>
      <c r="D24" s="76"/>
      <c r="E24" s="57"/>
      <c r="F24" s="60"/>
      <c r="G24" s="57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 ht="12.75" customHeight="1" x14ac:dyDescent="0.2">
      <c r="A25" s="128" t="s">
        <v>108</v>
      </c>
      <c r="B25" s="124"/>
      <c r="C25" s="126"/>
      <c r="D25" s="76"/>
      <c r="E25" s="57"/>
      <c r="F25" s="60"/>
      <c r="G25" s="57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 s="63" customFormat="1" ht="12.75" customHeight="1" x14ac:dyDescent="0.2">
      <c r="A26" s="127" t="s">
        <v>167</v>
      </c>
      <c r="B26" s="129" t="s">
        <v>95</v>
      </c>
      <c r="C26" s="126">
        <f>+Mamposterias!G15</f>
        <v>285.02100000000002</v>
      </c>
      <c r="D26" s="76"/>
      <c r="E26" s="57"/>
      <c r="F26" s="60"/>
      <c r="G26" s="57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 ht="12.75" customHeight="1" x14ac:dyDescent="0.2">
      <c r="A27" s="125" t="s">
        <v>109</v>
      </c>
      <c r="B27" s="124" t="s">
        <v>99</v>
      </c>
      <c r="C27" s="126">
        <f>+Mamposterias!B15</f>
        <v>398.84000000000009</v>
      </c>
      <c r="D27" s="76"/>
      <c r="E27" s="57"/>
      <c r="F27" s="60"/>
      <c r="G27" s="5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 ht="12.75" customHeight="1" x14ac:dyDescent="0.2">
      <c r="A28" s="125" t="s">
        <v>110</v>
      </c>
      <c r="B28" s="124" t="s">
        <v>99</v>
      </c>
      <c r="C28" s="126">
        <f>+Mamposterias!D15</f>
        <v>731.43999999999994</v>
      </c>
      <c r="D28" s="76"/>
      <c r="E28" s="57"/>
      <c r="F28" s="60"/>
      <c r="G28" s="57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 ht="12.75" customHeight="1" x14ac:dyDescent="0.2">
      <c r="A29" s="125" t="s">
        <v>111</v>
      </c>
      <c r="B29" s="124" t="s">
        <v>99</v>
      </c>
      <c r="C29" s="126">
        <f>+Mamposterias!F16</f>
        <v>1291.08</v>
      </c>
      <c r="D29" s="76"/>
      <c r="E29" s="57"/>
      <c r="F29" s="60"/>
      <c r="G29" s="57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 ht="12.75" customHeight="1" x14ac:dyDescent="0.2">
      <c r="A30" s="125"/>
      <c r="B30" s="124"/>
      <c r="C30" s="126"/>
      <c r="D30" s="76"/>
      <c r="E30" s="57"/>
      <c r="F30" s="60"/>
      <c r="G30" s="57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 ht="12.75" customHeight="1" x14ac:dyDescent="0.2">
      <c r="A31" s="128" t="s">
        <v>112</v>
      </c>
      <c r="B31" s="124"/>
      <c r="C31" s="126"/>
      <c r="D31" s="76"/>
      <c r="E31" s="57"/>
      <c r="F31" s="60"/>
      <c r="G31" s="57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 ht="12.75" customHeight="1" x14ac:dyDescent="0.2">
      <c r="A32" s="125" t="s">
        <v>113</v>
      </c>
      <c r="B32" s="124" t="s">
        <v>99</v>
      </c>
      <c r="C32" s="126">
        <f>+Mamposterias!D21</f>
        <v>38.113999999999997</v>
      </c>
      <c r="D32" s="76"/>
      <c r="E32" s="57"/>
      <c r="F32" s="60"/>
      <c r="G32" s="57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 ht="12.75" customHeight="1" x14ac:dyDescent="0.2">
      <c r="A33" s="125"/>
      <c r="B33" s="124"/>
      <c r="C33" s="126"/>
      <c r="D33" s="76"/>
      <c r="E33" s="57"/>
      <c r="F33" s="60"/>
      <c r="G33" s="57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 ht="12.75" customHeight="1" x14ac:dyDescent="0.2">
      <c r="A34" s="128" t="s">
        <v>114</v>
      </c>
      <c r="B34" s="124"/>
      <c r="C34" s="126"/>
      <c r="D34" s="76"/>
      <c r="E34" s="57"/>
      <c r="F34" s="60"/>
      <c r="G34" s="57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 ht="12.75" customHeight="1" x14ac:dyDescent="0.2">
      <c r="A35" s="125" t="s">
        <v>115</v>
      </c>
      <c r="B35" s="124" t="s">
        <v>99</v>
      </c>
      <c r="C35" s="126">
        <f>+(21.36*2+8.36)*4</f>
        <v>204.32</v>
      </c>
      <c r="D35" s="76"/>
      <c r="E35" s="57"/>
      <c r="F35" s="60"/>
      <c r="G35" s="57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 ht="12.75" customHeight="1" x14ac:dyDescent="0.2">
      <c r="A36" s="125" t="s">
        <v>116</v>
      </c>
      <c r="B36" s="124" t="s">
        <v>99</v>
      </c>
      <c r="C36" s="126">
        <f>+'Rev. exterior'!J16</f>
        <v>1494.6399999999999</v>
      </c>
      <c r="D36" s="76"/>
      <c r="E36" s="57"/>
      <c r="F36" s="60"/>
      <c r="G36" s="57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 ht="12.75" customHeight="1" x14ac:dyDescent="0.2">
      <c r="A37" s="125" t="s">
        <v>117</v>
      </c>
      <c r="B37" s="124" t="s">
        <v>99</v>
      </c>
      <c r="C37" s="126">
        <f>+Albañileria!H2</f>
        <v>1624.0419999999999</v>
      </c>
      <c r="D37" s="76"/>
      <c r="E37" s="57"/>
      <c r="F37" s="60"/>
      <c r="G37" s="57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 ht="12.75" customHeight="1" x14ac:dyDescent="0.2">
      <c r="A38" s="127" t="s">
        <v>180</v>
      </c>
      <c r="B38" s="124" t="s">
        <v>99</v>
      </c>
      <c r="C38" s="126">
        <f>+'Rev. exterior'!B16</f>
        <v>654.96</v>
      </c>
      <c r="D38" s="76"/>
      <c r="E38" s="57"/>
      <c r="F38" s="60"/>
      <c r="G38" s="57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 ht="12.75" customHeight="1" x14ac:dyDescent="0.2">
      <c r="A39" s="127" t="s">
        <v>181</v>
      </c>
      <c r="B39" s="124" t="s">
        <v>99</v>
      </c>
      <c r="C39" s="126">
        <f>+'Rev. exterior'!C16</f>
        <v>0</v>
      </c>
      <c r="D39" s="76"/>
      <c r="E39" s="57"/>
      <c r="F39" s="60"/>
      <c r="G39" s="57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 s="72" customFormat="1" ht="12.75" customHeight="1" x14ac:dyDescent="0.2">
      <c r="A40" s="127" t="s">
        <v>183</v>
      </c>
      <c r="B40" s="124" t="s">
        <v>99</v>
      </c>
      <c r="C40" s="126">
        <f>+Albañileria!N2</f>
        <v>516.4</v>
      </c>
      <c r="D40" s="76"/>
      <c r="E40" s="57"/>
      <c r="F40" s="60"/>
      <c r="G40" s="57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 ht="12.75" customHeight="1" x14ac:dyDescent="0.2">
      <c r="A41" s="125"/>
      <c r="B41" s="124"/>
      <c r="C41" s="126"/>
      <c r="D41" s="76"/>
      <c r="E41" s="57"/>
      <c r="F41" s="60"/>
      <c r="G41" s="57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 ht="12.75" customHeight="1" x14ac:dyDescent="0.2">
      <c r="A42" s="128" t="s">
        <v>118</v>
      </c>
      <c r="B42" s="124"/>
      <c r="C42" s="126"/>
      <c r="D42" s="76"/>
      <c r="E42" s="57"/>
      <c r="F42" s="60"/>
      <c r="G42" s="57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 ht="12.75" customHeight="1" x14ac:dyDescent="0.2">
      <c r="A43" s="125" t="s">
        <v>119</v>
      </c>
      <c r="B43" s="124" t="s">
        <v>99</v>
      </c>
      <c r="C43" s="126">
        <f>+Albañileria!O2</f>
        <v>791.38200000000006</v>
      </c>
      <c r="D43" s="76"/>
      <c r="E43" s="57"/>
      <c r="F43" s="60"/>
      <c r="G43" s="57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 ht="12.75" customHeight="1" x14ac:dyDescent="0.2">
      <c r="A44" s="125" t="s">
        <v>120</v>
      </c>
      <c r="B44" s="124" t="s">
        <v>81</v>
      </c>
      <c r="C44" s="126">
        <f>+Albañileria!S2</f>
        <v>176</v>
      </c>
      <c r="D44" s="76"/>
      <c r="E44" s="57"/>
      <c r="F44" s="60"/>
      <c r="G44" s="57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 ht="12.75" customHeight="1" x14ac:dyDescent="0.2">
      <c r="A45" s="125" t="s">
        <v>121</v>
      </c>
      <c r="B45" s="124" t="s">
        <v>99</v>
      </c>
      <c r="C45" s="126">
        <f>+Albañileria!Q2</f>
        <v>191.02800000000002</v>
      </c>
      <c r="D45" s="76"/>
      <c r="E45" s="76"/>
      <c r="F45" s="60"/>
      <c r="G45" s="57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 ht="12.75" customHeight="1" x14ac:dyDescent="0.2">
      <c r="A46" s="125" t="s">
        <v>122</v>
      </c>
      <c r="B46" s="124" t="s">
        <v>99</v>
      </c>
      <c r="C46" s="126">
        <f>+Albañileria!R2</f>
        <v>257.09010000000001</v>
      </c>
      <c r="E46" s="76"/>
      <c r="F46" s="60"/>
      <c r="G46" s="57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 ht="12.75" customHeight="1" x14ac:dyDescent="0.2">
      <c r="A47" s="125" t="s">
        <v>123</v>
      </c>
      <c r="B47" s="124" t="s">
        <v>93</v>
      </c>
      <c r="C47" s="126">
        <f>+Albañileria!P2</f>
        <v>296.18000000000006</v>
      </c>
      <c r="D47" s="76"/>
      <c r="E47" s="76"/>
      <c r="F47" s="60"/>
      <c r="G47" s="57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 ht="12.75" customHeight="1" x14ac:dyDescent="0.2">
      <c r="A48" s="125"/>
      <c r="B48" s="124"/>
      <c r="C48" s="126"/>
      <c r="D48" s="76"/>
      <c r="E48" s="76"/>
      <c r="F48" s="60"/>
      <c r="G48" s="57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 ht="12.75" customHeight="1" x14ac:dyDescent="0.2">
      <c r="A49" s="128" t="s">
        <v>124</v>
      </c>
      <c r="B49" s="124"/>
      <c r="C49" s="126"/>
      <c r="D49" s="76"/>
      <c r="E49" s="57"/>
      <c r="F49" s="60"/>
      <c r="G49" s="57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 ht="12.75" customHeight="1" x14ac:dyDescent="0.2">
      <c r="A50" s="125" t="s">
        <v>125</v>
      </c>
      <c r="B50" s="124" t="s">
        <v>99</v>
      </c>
      <c r="C50" s="126"/>
      <c r="D50" s="76"/>
      <c r="E50" s="57"/>
      <c r="F50" s="60"/>
      <c r="G50" s="57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 ht="12.75" customHeight="1" x14ac:dyDescent="0.2">
      <c r="A51" s="125" t="s">
        <v>126</v>
      </c>
      <c r="B51" s="124" t="s">
        <v>99</v>
      </c>
      <c r="C51" s="126">
        <f>+Albañileria!I2</f>
        <v>238.00150000000002</v>
      </c>
      <c r="D51" s="76"/>
      <c r="E51" s="57"/>
      <c r="F51" s="60"/>
      <c r="G51" s="57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 ht="12.75" customHeight="1" x14ac:dyDescent="0.2">
      <c r="A52" s="127" t="s">
        <v>184</v>
      </c>
      <c r="B52" s="124" t="s">
        <v>99</v>
      </c>
      <c r="C52" s="126">
        <f>+Albañileria!K2</f>
        <v>12.975000000000001</v>
      </c>
      <c r="D52" s="76"/>
      <c r="E52" s="57"/>
      <c r="F52" s="60"/>
      <c r="G52" s="57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 ht="12.75" customHeight="1" x14ac:dyDescent="0.2">
      <c r="A53" s="125" t="s">
        <v>127</v>
      </c>
      <c r="B53" s="124" t="s">
        <v>99</v>
      </c>
      <c r="C53" s="126">
        <f>+Albañileria!M2</f>
        <v>225.0265</v>
      </c>
      <c r="D53" s="76">
        <f>+C53+C52</f>
        <v>238.00149999999999</v>
      </c>
      <c r="E53" s="57"/>
      <c r="F53" s="60"/>
      <c r="G53" s="57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 ht="12.75" customHeight="1" x14ac:dyDescent="0.2">
      <c r="A54" s="125" t="s">
        <v>128</v>
      </c>
      <c r="B54" s="124" t="s">
        <v>99</v>
      </c>
      <c r="C54" s="126">
        <f>+Albañileria!L2</f>
        <v>150.416</v>
      </c>
      <c r="D54" s="76"/>
      <c r="E54" s="57"/>
      <c r="F54" s="60"/>
      <c r="G54" s="57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 ht="12.75" customHeight="1" x14ac:dyDescent="0.2">
      <c r="A55" s="125"/>
      <c r="B55" s="124"/>
      <c r="C55" s="126"/>
      <c r="D55" s="76"/>
      <c r="E55" s="57"/>
      <c r="F55" s="60"/>
      <c r="G55" s="57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 ht="12.75" customHeight="1" x14ac:dyDescent="0.2">
      <c r="A56" s="128" t="s">
        <v>129</v>
      </c>
      <c r="B56" s="124"/>
      <c r="C56" s="126"/>
      <c r="D56" s="76"/>
      <c r="E56" s="57"/>
      <c r="F56" s="60"/>
      <c r="G56" s="57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 ht="12.75" customHeight="1" x14ac:dyDescent="0.2">
      <c r="A57" s="125" t="s">
        <v>130</v>
      </c>
      <c r="B57" s="124" t="s">
        <v>99</v>
      </c>
      <c r="C57" s="126">
        <f>+Albañileria!X2</f>
        <v>33.879000000000005</v>
      </c>
      <c r="D57" s="76"/>
      <c r="E57" s="57"/>
      <c r="F57" s="60"/>
      <c r="G57" s="57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 s="72" customFormat="1" ht="12.75" customHeight="1" x14ac:dyDescent="0.2">
      <c r="A58" s="127" t="s">
        <v>189</v>
      </c>
      <c r="B58" s="124" t="s">
        <v>99</v>
      </c>
      <c r="C58" s="126">
        <f>+Albañileria!U2</f>
        <v>196.1225</v>
      </c>
      <c r="D58" s="76"/>
      <c r="E58" s="57"/>
      <c r="F58" s="60"/>
      <c r="G58" s="57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 ht="12.75" customHeight="1" x14ac:dyDescent="0.2">
      <c r="A59" s="127" t="s">
        <v>188</v>
      </c>
      <c r="B59" s="124" t="s">
        <v>93</v>
      </c>
      <c r="C59" s="126">
        <f>+Albañileria!Y2</f>
        <v>49.94</v>
      </c>
      <c r="D59" s="76"/>
      <c r="E59" s="57"/>
      <c r="F59" s="60"/>
      <c r="G59" s="57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 s="72" customFormat="1" ht="12.75" customHeight="1" x14ac:dyDescent="0.2">
      <c r="A60" s="127" t="s">
        <v>190</v>
      </c>
      <c r="B60" s="124" t="s">
        <v>93</v>
      </c>
      <c r="C60" s="126">
        <f>+Albañileria!V2</f>
        <v>150.4</v>
      </c>
      <c r="D60" s="76"/>
      <c r="E60" s="57"/>
      <c r="F60" s="60"/>
      <c r="G60" s="57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 s="72" customFormat="1" ht="12.75" customHeight="1" x14ac:dyDescent="0.2">
      <c r="A61" s="125" t="s">
        <v>221</v>
      </c>
      <c r="B61" s="124" t="s">
        <v>93</v>
      </c>
      <c r="C61" s="126">
        <f>+Albañileria!W2</f>
        <v>106.26</v>
      </c>
      <c r="D61" s="76">
        <f>SUM(C59:C61)</f>
        <v>306.60000000000002</v>
      </c>
      <c r="E61" s="57"/>
      <c r="F61" s="60"/>
      <c r="G61" s="57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 ht="12.75" customHeight="1" x14ac:dyDescent="0.2">
      <c r="A62" s="125" t="s">
        <v>131</v>
      </c>
      <c r="B62" s="124" t="s">
        <v>99</v>
      </c>
      <c r="C62" s="126">
        <f>8.66*5</f>
        <v>43.3</v>
      </c>
      <c r="D62" s="76"/>
      <c r="E62" s="57"/>
      <c r="F62" s="60"/>
      <c r="G62" s="57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 ht="12.75" customHeight="1" x14ac:dyDescent="0.2">
      <c r="A63" s="127" t="s">
        <v>192</v>
      </c>
      <c r="B63" s="124" t="s">
        <v>99</v>
      </c>
      <c r="C63" s="126">
        <f>+Albañileria!E4+Albañileria!E5</f>
        <v>124.70400000000001</v>
      </c>
      <c r="D63" s="76"/>
      <c r="E63" s="57"/>
      <c r="F63" s="60"/>
      <c r="G63" s="57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 ht="12.75" customHeight="1" x14ac:dyDescent="0.2">
      <c r="A64" s="125" t="s">
        <v>132</v>
      </c>
      <c r="B64" s="124" t="s">
        <v>99</v>
      </c>
      <c r="C64" s="126">
        <f>+Albañileria!T2</f>
        <v>72.3</v>
      </c>
      <c r="D64" s="76"/>
      <c r="E64" s="57"/>
      <c r="F64" s="60"/>
      <c r="G64" s="57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 ht="12.75" customHeight="1" x14ac:dyDescent="0.2">
      <c r="A65" s="125" t="s">
        <v>133</v>
      </c>
      <c r="B65" s="129" t="s">
        <v>185</v>
      </c>
      <c r="C65" s="126">
        <v>1</v>
      </c>
      <c r="D65" s="76"/>
      <c r="E65" s="57"/>
      <c r="F65" s="60"/>
      <c r="G65" s="57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 ht="12.75" customHeight="1" x14ac:dyDescent="0.2">
      <c r="A66" s="125" t="s">
        <v>134</v>
      </c>
      <c r="B66" s="124" t="s">
        <v>93</v>
      </c>
      <c r="C66" s="126">
        <f>4+8*6+6*3+5+2</f>
        <v>77</v>
      </c>
      <c r="D66" s="76"/>
      <c r="E66" s="57"/>
      <c r="F66" s="60"/>
      <c r="G66" s="57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 ht="12.75" customHeight="1" x14ac:dyDescent="0.2">
      <c r="A67" s="125"/>
      <c r="B67" s="124"/>
      <c r="C67" s="126"/>
      <c r="D67" s="76"/>
      <c r="E67" s="57"/>
      <c r="F67" s="60"/>
      <c r="G67" s="57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 ht="12.75" customHeight="1" x14ac:dyDescent="0.2">
      <c r="A68" s="128" t="s">
        <v>135</v>
      </c>
      <c r="B68" s="124"/>
      <c r="C68" s="126"/>
      <c r="D68" s="76"/>
      <c r="E68" s="57"/>
      <c r="F68" s="60"/>
      <c r="G68" s="57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 ht="12.75" customHeight="1" x14ac:dyDescent="0.2">
      <c r="A69" s="125" t="s">
        <v>136</v>
      </c>
      <c r="B69" s="124" t="s">
        <v>99</v>
      </c>
      <c r="C69" s="126">
        <f>+Albañileria!AB2</f>
        <v>6.9</v>
      </c>
      <c r="D69" s="76"/>
      <c r="E69" s="57"/>
      <c r="F69" s="60"/>
      <c r="G69" s="57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 ht="12.75" customHeight="1" x14ac:dyDescent="0.2">
      <c r="A70" s="125" t="s">
        <v>137</v>
      </c>
      <c r="B70" s="124" t="s">
        <v>99</v>
      </c>
      <c r="C70" s="126">
        <f>+Albañileria!AC2</f>
        <v>1.3499999999999999</v>
      </c>
      <c r="D70" s="76"/>
      <c r="E70" s="57"/>
      <c r="F70" s="60"/>
      <c r="G70" s="57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 ht="12.75" customHeight="1" x14ac:dyDescent="0.2">
      <c r="A71" s="125" t="s">
        <v>138</v>
      </c>
      <c r="B71" s="124" t="s">
        <v>99</v>
      </c>
      <c r="C71" s="126">
        <v>1.9</v>
      </c>
      <c r="D71" s="76"/>
      <c r="E71" s="57"/>
      <c r="F71" s="60"/>
      <c r="G71" s="57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 ht="12.75" customHeight="1" x14ac:dyDescent="0.2">
      <c r="A72" s="125" t="s">
        <v>139</v>
      </c>
      <c r="B72" s="124" t="s">
        <v>99</v>
      </c>
      <c r="C72" s="126">
        <f>1.4*1.5</f>
        <v>2.0999999999999996</v>
      </c>
      <c r="D72" s="76">
        <f>SUM(C69:C72)</f>
        <v>12.25</v>
      </c>
      <c r="E72" s="57"/>
      <c r="F72" s="60"/>
      <c r="G72" s="57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 ht="12.75" customHeight="1" x14ac:dyDescent="0.2">
      <c r="A73" s="125"/>
      <c r="B73" s="124"/>
      <c r="C73" s="126"/>
      <c r="D73" s="76"/>
      <c r="E73" s="57"/>
      <c r="F73" s="60"/>
      <c r="G73" s="57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 ht="12.75" customHeight="1" x14ac:dyDescent="0.2">
      <c r="A74" s="128" t="s">
        <v>140</v>
      </c>
      <c r="B74" s="124"/>
      <c r="C74" s="126"/>
      <c r="D74" s="76"/>
      <c r="E74" s="57" t="s">
        <v>43</v>
      </c>
      <c r="F74" s="81">
        <v>1</v>
      </c>
      <c r="G74" s="81">
        <v>2</v>
      </c>
      <c r="H74" s="81">
        <v>3</v>
      </c>
      <c r="I74" s="81">
        <v>4</v>
      </c>
      <c r="J74" s="81">
        <v>5</v>
      </c>
      <c r="K74" s="81">
        <v>6</v>
      </c>
      <c r="L74" s="81">
        <v>7</v>
      </c>
      <c r="M74" s="81">
        <v>8</v>
      </c>
      <c r="N74" s="81">
        <v>9</v>
      </c>
      <c r="O74" s="81">
        <v>10</v>
      </c>
      <c r="P74" s="82" t="s">
        <v>70</v>
      </c>
      <c r="Q74" s="82" t="s">
        <v>71</v>
      </c>
      <c r="R74" s="32"/>
      <c r="S74" s="32"/>
      <c r="T74" s="32"/>
      <c r="U74" s="32"/>
      <c r="V74" s="32"/>
      <c r="W74" s="32"/>
      <c r="X74" s="32"/>
    </row>
    <row r="75" spans="1:24" ht="12.75" customHeight="1" x14ac:dyDescent="0.2">
      <c r="A75" s="125" t="s">
        <v>222</v>
      </c>
      <c r="B75" s="124" t="s">
        <v>81</v>
      </c>
      <c r="C75" s="126">
        <f>+R75</f>
        <v>35</v>
      </c>
      <c r="D75" s="76"/>
      <c r="E75" s="120"/>
      <c r="F75" s="120">
        <v>4</v>
      </c>
      <c r="G75" s="120">
        <v>4</v>
      </c>
      <c r="H75" s="120">
        <v>4</v>
      </c>
      <c r="I75" s="120">
        <v>4</v>
      </c>
      <c r="J75" s="120">
        <v>4</v>
      </c>
      <c r="K75" s="120">
        <v>4</v>
      </c>
      <c r="L75" s="120">
        <v>3</v>
      </c>
      <c r="M75" s="120">
        <v>3</v>
      </c>
      <c r="N75" s="120">
        <v>3</v>
      </c>
      <c r="O75" s="120">
        <v>2</v>
      </c>
      <c r="P75" s="120"/>
      <c r="Q75" s="120"/>
      <c r="R75" s="120">
        <f>SUM(E75:Q75)</f>
        <v>35</v>
      </c>
      <c r="S75" s="32"/>
      <c r="T75" s="32"/>
      <c r="U75" s="32"/>
      <c r="V75" s="32"/>
      <c r="W75" s="32"/>
      <c r="X75" s="32"/>
    </row>
    <row r="76" spans="1:24" ht="12.75" customHeight="1" x14ac:dyDescent="0.2">
      <c r="A76" s="125" t="s">
        <v>82</v>
      </c>
      <c r="B76" s="124" t="s">
        <v>81</v>
      </c>
      <c r="C76" s="126">
        <f>+R76</f>
        <v>66</v>
      </c>
      <c r="D76" s="76"/>
      <c r="E76" s="120">
        <v>4</v>
      </c>
      <c r="F76" s="120">
        <v>7</v>
      </c>
      <c r="G76" s="120">
        <v>7</v>
      </c>
      <c r="H76" s="120">
        <v>7</v>
      </c>
      <c r="I76" s="120">
        <v>7</v>
      </c>
      <c r="J76" s="120">
        <v>6</v>
      </c>
      <c r="K76" s="120">
        <v>6</v>
      </c>
      <c r="L76" s="120">
        <v>6</v>
      </c>
      <c r="M76" s="120">
        <v>6</v>
      </c>
      <c r="N76" s="120">
        <v>7</v>
      </c>
      <c r="O76" s="120">
        <v>3</v>
      </c>
      <c r="P76" s="120"/>
      <c r="Q76" s="120"/>
      <c r="R76" s="120">
        <f>SUM(E76:Q76)</f>
        <v>66</v>
      </c>
      <c r="S76" s="32"/>
      <c r="T76" s="32"/>
      <c r="U76" s="32"/>
      <c r="V76" s="32"/>
      <c r="W76" s="32"/>
      <c r="X76" s="32"/>
    </row>
    <row r="77" spans="1:24" ht="12.75" customHeight="1" x14ac:dyDescent="0.2">
      <c r="A77" s="125" t="s">
        <v>141</v>
      </c>
      <c r="B77" s="124" t="s">
        <v>90</v>
      </c>
      <c r="C77" s="126">
        <v>1</v>
      </c>
      <c r="D77" s="76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32"/>
      <c r="T77" s="32"/>
      <c r="U77" s="32"/>
      <c r="V77" s="32"/>
      <c r="W77" s="32"/>
      <c r="X77" s="32"/>
    </row>
    <row r="78" spans="1:24" ht="12.75" customHeight="1" x14ac:dyDescent="0.2">
      <c r="A78" s="127" t="s">
        <v>194</v>
      </c>
      <c r="B78" s="124" t="s">
        <v>81</v>
      </c>
      <c r="C78" s="126">
        <f>+R78</f>
        <v>19</v>
      </c>
      <c r="D78" s="76"/>
      <c r="E78" s="120"/>
      <c r="F78" s="120">
        <v>2</v>
      </c>
      <c r="G78" s="120">
        <v>2</v>
      </c>
      <c r="H78" s="120">
        <v>2</v>
      </c>
      <c r="I78" s="120">
        <v>2</v>
      </c>
      <c r="J78" s="120">
        <v>2</v>
      </c>
      <c r="K78" s="120">
        <v>2</v>
      </c>
      <c r="L78" s="120">
        <v>2</v>
      </c>
      <c r="M78" s="120">
        <v>2</v>
      </c>
      <c r="N78" s="120">
        <v>2</v>
      </c>
      <c r="O78" s="120">
        <v>1</v>
      </c>
      <c r="P78" s="120"/>
      <c r="Q78" s="120"/>
      <c r="R78" s="120">
        <f>SUM(E78:Q78)</f>
        <v>19</v>
      </c>
      <c r="S78" s="32"/>
      <c r="T78" s="32"/>
      <c r="U78" s="32"/>
      <c r="V78" s="32"/>
      <c r="W78" s="32"/>
      <c r="X78" s="32"/>
    </row>
    <row r="79" spans="1:24" ht="12.75" customHeight="1" x14ac:dyDescent="0.2">
      <c r="A79" s="125"/>
      <c r="B79" s="124"/>
      <c r="C79" s="126"/>
      <c r="D79" s="76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32"/>
      <c r="T79" s="32"/>
      <c r="U79" s="32"/>
      <c r="V79" s="32"/>
      <c r="W79" s="32"/>
      <c r="X79" s="32"/>
    </row>
    <row r="80" spans="1:24" ht="12.75" customHeight="1" x14ac:dyDescent="0.2">
      <c r="A80" s="128" t="s">
        <v>83</v>
      </c>
      <c r="B80" s="124"/>
      <c r="C80" s="126"/>
      <c r="D80" s="76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32"/>
      <c r="T80" s="32"/>
      <c r="U80" s="32"/>
      <c r="V80" s="32"/>
      <c r="W80" s="32"/>
      <c r="X80" s="32"/>
    </row>
    <row r="81" spans="1:24" s="72" customFormat="1" ht="12.75" customHeight="1" x14ac:dyDescent="0.2">
      <c r="A81" s="125" t="s">
        <v>193</v>
      </c>
      <c r="B81" s="129" t="s">
        <v>81</v>
      </c>
      <c r="C81" s="126">
        <f t="shared" ref="C81:C87" si="0">+R81</f>
        <v>1</v>
      </c>
      <c r="D81" s="76"/>
      <c r="E81" s="120">
        <v>1</v>
      </c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>
        <f>SUM(E81:Q81)</f>
        <v>1</v>
      </c>
      <c r="S81" s="32"/>
      <c r="T81" s="32"/>
      <c r="U81" s="32"/>
      <c r="V81" s="32"/>
      <c r="W81" s="32"/>
      <c r="X81" s="32"/>
    </row>
    <row r="82" spans="1:24" ht="12.75" customHeight="1" x14ac:dyDescent="0.2">
      <c r="A82" s="125" t="s">
        <v>142</v>
      </c>
      <c r="B82" s="124" t="s">
        <v>81</v>
      </c>
      <c r="C82" s="126">
        <f t="shared" si="0"/>
        <v>12</v>
      </c>
      <c r="D82" s="76"/>
      <c r="E82" s="120">
        <v>1</v>
      </c>
      <c r="F82" s="120">
        <v>1</v>
      </c>
      <c r="G82" s="120">
        <v>1</v>
      </c>
      <c r="H82" s="120">
        <v>1</v>
      </c>
      <c r="I82" s="120">
        <v>1</v>
      </c>
      <c r="J82" s="120">
        <v>1</v>
      </c>
      <c r="K82" s="120">
        <v>1</v>
      </c>
      <c r="L82" s="120">
        <v>1</v>
      </c>
      <c r="M82" s="120">
        <v>1</v>
      </c>
      <c r="N82" s="120">
        <v>1</v>
      </c>
      <c r="O82" s="120">
        <v>1</v>
      </c>
      <c r="P82" s="120">
        <v>1</v>
      </c>
      <c r="Q82" s="120"/>
      <c r="R82" s="120">
        <f>SUM(E82:Q82)</f>
        <v>12</v>
      </c>
      <c r="S82" s="32"/>
      <c r="T82" s="32"/>
      <c r="U82" s="32"/>
      <c r="V82" s="32"/>
      <c r="W82" s="32"/>
      <c r="X82" s="32"/>
    </row>
    <row r="83" spans="1:24" ht="12.75" customHeight="1" x14ac:dyDescent="0.2">
      <c r="A83" s="125" t="s">
        <v>143</v>
      </c>
      <c r="B83" s="124" t="s">
        <v>81</v>
      </c>
      <c r="C83" s="126">
        <f t="shared" si="0"/>
        <v>1</v>
      </c>
      <c r="D83" s="76"/>
      <c r="E83" s="120">
        <v>1</v>
      </c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>
        <f>SUM(E83:Q83)</f>
        <v>1</v>
      </c>
      <c r="S83" s="32"/>
      <c r="T83" s="32"/>
      <c r="U83" s="32"/>
      <c r="V83" s="32"/>
      <c r="W83" s="32"/>
      <c r="X83" s="32"/>
    </row>
    <row r="84" spans="1:24" ht="12.75" customHeight="1" x14ac:dyDescent="0.2">
      <c r="A84" s="125" t="s">
        <v>223</v>
      </c>
      <c r="B84" s="124" t="s">
        <v>81</v>
      </c>
      <c r="C84" s="126">
        <f t="shared" si="0"/>
        <v>35</v>
      </c>
      <c r="D84" s="76"/>
      <c r="E84" s="120"/>
      <c r="F84" s="120">
        <v>4</v>
      </c>
      <c r="G84" s="120">
        <v>4</v>
      </c>
      <c r="H84" s="120">
        <v>4</v>
      </c>
      <c r="I84" s="120">
        <v>4</v>
      </c>
      <c r="J84" s="120">
        <v>4</v>
      </c>
      <c r="K84" s="120">
        <v>4</v>
      </c>
      <c r="L84" s="120">
        <v>3</v>
      </c>
      <c r="M84" s="120">
        <v>3</v>
      </c>
      <c r="N84" s="120">
        <v>3</v>
      </c>
      <c r="O84" s="120">
        <v>2</v>
      </c>
      <c r="P84" s="120"/>
      <c r="Q84" s="120"/>
      <c r="R84" s="120">
        <f>SUM(E84:Q84)</f>
        <v>35</v>
      </c>
      <c r="S84" s="32"/>
      <c r="T84" s="32"/>
      <c r="U84" s="32"/>
      <c r="V84" s="32"/>
      <c r="W84" s="32"/>
      <c r="X84" s="32"/>
    </row>
    <row r="85" spans="1:24" ht="12.75" customHeight="1" x14ac:dyDescent="0.2">
      <c r="A85" s="125" t="s">
        <v>144</v>
      </c>
      <c r="B85" s="124" t="s">
        <v>81</v>
      </c>
      <c r="C85" s="126">
        <f t="shared" si="0"/>
        <v>1</v>
      </c>
      <c r="D85" s="76"/>
      <c r="E85" s="120">
        <v>1</v>
      </c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>
        <f>SUM(E85:Q85)</f>
        <v>1</v>
      </c>
      <c r="S85" s="32"/>
      <c r="T85" s="32"/>
      <c r="U85" s="32"/>
      <c r="V85" s="32"/>
      <c r="W85" s="32"/>
      <c r="X85" s="32"/>
    </row>
    <row r="86" spans="1:24" s="90" customFormat="1" ht="12.75" customHeight="1" x14ac:dyDescent="0.2">
      <c r="A86" s="125" t="s">
        <v>224</v>
      </c>
      <c r="B86" s="124" t="s">
        <v>81</v>
      </c>
      <c r="C86" s="126">
        <v>1</v>
      </c>
      <c r="D86" s="76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32"/>
      <c r="T86" s="32"/>
      <c r="U86" s="32"/>
      <c r="V86" s="32"/>
      <c r="W86" s="32"/>
      <c r="X86" s="32"/>
    </row>
    <row r="87" spans="1:24" s="72" customFormat="1" ht="12.75" customHeight="1" x14ac:dyDescent="0.2">
      <c r="A87" s="127" t="s">
        <v>196</v>
      </c>
      <c r="B87" s="129" t="s">
        <v>81</v>
      </c>
      <c r="C87" s="126">
        <f t="shared" si="0"/>
        <v>20</v>
      </c>
      <c r="D87" s="76"/>
      <c r="E87" s="120"/>
      <c r="F87" s="120">
        <v>2</v>
      </c>
      <c r="G87" s="120">
        <v>2</v>
      </c>
      <c r="H87" s="120">
        <v>2</v>
      </c>
      <c r="I87" s="120">
        <v>2</v>
      </c>
      <c r="J87" s="120">
        <v>2</v>
      </c>
      <c r="K87" s="120">
        <v>2</v>
      </c>
      <c r="L87" s="120">
        <v>2</v>
      </c>
      <c r="M87" s="120">
        <v>2</v>
      </c>
      <c r="N87" s="120">
        <v>2</v>
      </c>
      <c r="O87" s="120">
        <v>2</v>
      </c>
      <c r="P87" s="120"/>
      <c r="Q87" s="120"/>
      <c r="R87" s="120">
        <f>SUM(E87:Q87)</f>
        <v>20</v>
      </c>
      <c r="S87" s="32"/>
      <c r="T87" s="32"/>
      <c r="U87" s="32"/>
      <c r="V87" s="32"/>
      <c r="W87" s="32"/>
      <c r="X87" s="32"/>
    </row>
    <row r="88" spans="1:24" ht="12.75" customHeight="1" x14ac:dyDescent="0.2">
      <c r="A88" s="125"/>
      <c r="B88" s="124"/>
      <c r="C88" s="126"/>
      <c r="D88" s="76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32"/>
      <c r="T88" s="32"/>
      <c r="U88" s="32"/>
      <c r="V88" s="32"/>
      <c r="W88" s="32"/>
      <c r="X88" s="32"/>
    </row>
    <row r="89" spans="1:24" ht="12.75" customHeight="1" x14ac:dyDescent="0.2">
      <c r="A89" s="128" t="s">
        <v>145</v>
      </c>
      <c r="B89" s="124"/>
      <c r="C89" s="126"/>
      <c r="D89" s="76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32"/>
      <c r="T89" s="32"/>
      <c r="U89" s="32"/>
      <c r="V89" s="32"/>
      <c r="W89" s="32"/>
      <c r="X89" s="32"/>
    </row>
    <row r="90" spans="1:24" ht="12.75" customHeight="1" x14ac:dyDescent="0.2">
      <c r="A90" s="125" t="s">
        <v>146</v>
      </c>
      <c r="B90" s="124" t="s">
        <v>93</v>
      </c>
      <c r="C90" s="126">
        <f>+(3.5+2.1+3)*11</f>
        <v>94.6</v>
      </c>
      <c r="D90" s="76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32"/>
      <c r="T90" s="32"/>
      <c r="U90" s="32"/>
      <c r="V90" s="32"/>
      <c r="W90" s="32"/>
      <c r="X90" s="32"/>
    </row>
    <row r="91" spans="1:24" ht="12.75" customHeight="1" x14ac:dyDescent="0.2">
      <c r="A91" s="125" t="s">
        <v>147</v>
      </c>
      <c r="B91" s="124" t="s">
        <v>93</v>
      </c>
      <c r="C91" s="126">
        <f>1.7*2*11</f>
        <v>37.4</v>
      </c>
      <c r="D91" s="76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32"/>
      <c r="T91" s="32"/>
      <c r="U91" s="32"/>
      <c r="V91" s="32"/>
      <c r="W91" s="32"/>
      <c r="X91" s="32"/>
    </row>
    <row r="92" spans="1:24" s="72" customFormat="1" ht="12.75" customHeight="1" x14ac:dyDescent="0.2">
      <c r="A92" s="127" t="s">
        <v>195</v>
      </c>
      <c r="B92" s="129" t="s">
        <v>93</v>
      </c>
      <c r="C92" s="126">
        <f t="shared" ref="C92:C93" si="1">+R92</f>
        <v>80.86</v>
      </c>
      <c r="D92" s="76"/>
      <c r="E92" s="120"/>
      <c r="F92" s="120">
        <f>+(1.5+1.1)*2</f>
        <v>5.2</v>
      </c>
      <c r="G92" s="120">
        <f>+(1.5+1.1)*2</f>
        <v>5.2</v>
      </c>
      <c r="H92" s="120">
        <f>+(1.5+1.1)*2</f>
        <v>5.2</v>
      </c>
      <c r="I92" s="120">
        <f>+(1.5+1.1)*2</f>
        <v>5.2</v>
      </c>
      <c r="J92" s="120">
        <f>+(1.5+1.65)*2</f>
        <v>6.3</v>
      </c>
      <c r="K92" s="120">
        <f>+(8.36+1.8*2)</f>
        <v>11.959999999999999</v>
      </c>
      <c r="L92" s="120">
        <v>8.36</v>
      </c>
      <c r="M92" s="120">
        <v>8.36</v>
      </c>
      <c r="N92" s="120">
        <v>8.36</v>
      </c>
      <c r="O92" s="120">
        <v>8.36</v>
      </c>
      <c r="P92" s="120">
        <v>8.36</v>
      </c>
      <c r="Q92" s="120"/>
      <c r="R92" s="120">
        <f>SUM(E92:Q92)</f>
        <v>80.86</v>
      </c>
      <c r="S92" s="32"/>
      <c r="T92" s="32"/>
      <c r="U92" s="32"/>
      <c r="V92" s="32"/>
      <c r="W92" s="32"/>
      <c r="X92" s="32"/>
    </row>
    <row r="93" spans="1:24" ht="12.75" customHeight="1" x14ac:dyDescent="0.2">
      <c r="A93" s="125" t="s">
        <v>148</v>
      </c>
      <c r="B93" s="124" t="s">
        <v>81</v>
      </c>
      <c r="C93" s="126">
        <f t="shared" si="1"/>
        <v>1</v>
      </c>
      <c r="D93" s="76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>
        <v>1</v>
      </c>
      <c r="Q93" s="120"/>
      <c r="R93" s="120">
        <f>SUM(E93:Q93)</f>
        <v>1</v>
      </c>
      <c r="S93" s="32"/>
      <c r="T93" s="32"/>
      <c r="U93" s="32"/>
      <c r="V93" s="32"/>
      <c r="W93" s="32"/>
      <c r="X93" s="32"/>
    </row>
    <row r="94" spans="1:24" ht="12.75" customHeight="1" x14ac:dyDescent="0.2">
      <c r="A94" s="125"/>
      <c r="B94" s="124"/>
      <c r="C94" s="126"/>
      <c r="D94" s="76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32"/>
      <c r="T94" s="32"/>
      <c r="U94" s="32"/>
      <c r="V94" s="32"/>
      <c r="W94" s="32"/>
      <c r="X94" s="32"/>
    </row>
    <row r="95" spans="1:24" ht="12.75" customHeight="1" x14ac:dyDescent="0.2">
      <c r="A95" s="128" t="s">
        <v>149</v>
      </c>
      <c r="B95" s="124"/>
      <c r="C95" s="126"/>
      <c r="D95" s="80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32"/>
      <c r="T95" s="32"/>
      <c r="U95" s="32"/>
      <c r="V95" s="32"/>
      <c r="W95" s="32"/>
      <c r="X95" s="32"/>
    </row>
    <row r="96" spans="1:24" ht="12.75" customHeight="1" x14ac:dyDescent="0.2">
      <c r="A96" s="125" t="s">
        <v>225</v>
      </c>
      <c r="B96" s="124" t="s">
        <v>81</v>
      </c>
      <c r="C96" s="126">
        <f t="shared" ref="C96:C103" si="2">+R96</f>
        <v>1</v>
      </c>
      <c r="D96" s="80"/>
      <c r="E96" s="120">
        <v>1</v>
      </c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>
        <f t="shared" ref="R96:R104" si="3">SUM(E96:Q96)</f>
        <v>1</v>
      </c>
      <c r="S96" s="32"/>
      <c r="T96" s="32"/>
      <c r="U96" s="32"/>
      <c r="V96" s="32"/>
      <c r="W96" s="32"/>
      <c r="X96" s="32"/>
    </row>
    <row r="97" spans="1:24" ht="12.75" customHeight="1" x14ac:dyDescent="0.2">
      <c r="A97" s="127" t="s">
        <v>197</v>
      </c>
      <c r="B97" s="124" t="s">
        <v>81</v>
      </c>
      <c r="C97" s="126">
        <f t="shared" si="2"/>
        <v>2</v>
      </c>
      <c r="D97" s="80"/>
      <c r="E97" s="120">
        <v>2</v>
      </c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>
        <f t="shared" si="3"/>
        <v>2</v>
      </c>
      <c r="S97" s="32"/>
      <c r="T97" s="32"/>
      <c r="U97" s="32"/>
      <c r="V97" s="32"/>
      <c r="W97" s="32"/>
      <c r="X97" s="32"/>
    </row>
    <row r="98" spans="1:24" ht="12.75" customHeight="1" x14ac:dyDescent="0.2">
      <c r="A98" s="125" t="s">
        <v>226</v>
      </c>
      <c r="B98" s="124" t="s">
        <v>81</v>
      </c>
      <c r="C98" s="126">
        <f>+R98</f>
        <v>49</v>
      </c>
      <c r="D98" s="80"/>
      <c r="E98" s="120"/>
      <c r="F98" s="120">
        <v>5</v>
      </c>
      <c r="G98" s="120">
        <v>5</v>
      </c>
      <c r="H98" s="120">
        <v>5</v>
      </c>
      <c r="I98" s="120">
        <v>5</v>
      </c>
      <c r="J98" s="120">
        <v>5</v>
      </c>
      <c r="K98" s="120">
        <v>6</v>
      </c>
      <c r="L98" s="120">
        <v>5</v>
      </c>
      <c r="M98" s="120">
        <v>5</v>
      </c>
      <c r="N98" s="120">
        <v>5</v>
      </c>
      <c r="O98" s="120">
        <v>3</v>
      </c>
      <c r="P98" s="120"/>
      <c r="Q98" s="120"/>
      <c r="R98" s="120">
        <f t="shared" si="3"/>
        <v>49</v>
      </c>
      <c r="S98" s="32"/>
      <c r="T98" s="32"/>
      <c r="U98" s="32"/>
      <c r="V98" s="32"/>
      <c r="W98" s="32"/>
      <c r="X98" s="32"/>
    </row>
    <row r="99" spans="1:24" ht="12.75" customHeight="1" x14ac:dyDescent="0.2">
      <c r="A99" s="125" t="s">
        <v>227</v>
      </c>
      <c r="B99" s="124" t="s">
        <v>81</v>
      </c>
      <c r="C99" s="126">
        <f t="shared" si="2"/>
        <v>5</v>
      </c>
      <c r="D99" s="80"/>
      <c r="E99" s="120"/>
      <c r="F99" s="120">
        <v>1</v>
      </c>
      <c r="G99" s="120">
        <v>1</v>
      </c>
      <c r="H99" s="120">
        <v>1</v>
      </c>
      <c r="I99" s="120">
        <v>1</v>
      </c>
      <c r="J99" s="120">
        <v>1</v>
      </c>
      <c r="K99" s="120"/>
      <c r="L99" s="120"/>
      <c r="M99" s="120"/>
      <c r="N99" s="120"/>
      <c r="O99" s="120"/>
      <c r="P99" s="120"/>
      <c r="Q99" s="120"/>
      <c r="R99" s="120">
        <f t="shared" si="3"/>
        <v>5</v>
      </c>
      <c r="S99" s="32"/>
      <c r="T99" s="32"/>
      <c r="U99" s="32"/>
      <c r="V99" s="32"/>
      <c r="W99" s="32"/>
      <c r="X99" s="32"/>
    </row>
    <row r="100" spans="1:24" s="72" customFormat="1" ht="12.75" customHeight="1" x14ac:dyDescent="0.2">
      <c r="A100" s="127" t="s">
        <v>198</v>
      </c>
      <c r="B100" s="129" t="s">
        <v>81</v>
      </c>
      <c r="C100" s="126">
        <f t="shared" si="2"/>
        <v>1</v>
      </c>
      <c r="D100" s="8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>
        <v>1</v>
      </c>
      <c r="R100" s="120">
        <f t="shared" si="3"/>
        <v>1</v>
      </c>
      <c r="S100" s="32"/>
      <c r="T100" s="32"/>
      <c r="U100" s="32"/>
      <c r="V100" s="32"/>
      <c r="W100" s="32"/>
      <c r="X100" s="32"/>
    </row>
    <row r="101" spans="1:24" s="72" customFormat="1" ht="12.75" customHeight="1" x14ac:dyDescent="0.2">
      <c r="A101" s="127" t="s">
        <v>199</v>
      </c>
      <c r="B101" s="129" t="s">
        <v>81</v>
      </c>
      <c r="C101" s="126">
        <f t="shared" si="2"/>
        <v>22</v>
      </c>
      <c r="D101" s="80"/>
      <c r="E101" s="120"/>
      <c r="F101" s="120">
        <v>3</v>
      </c>
      <c r="G101" s="120">
        <v>3</v>
      </c>
      <c r="H101" s="120">
        <v>3</v>
      </c>
      <c r="I101" s="120">
        <v>3</v>
      </c>
      <c r="J101" s="120">
        <v>3</v>
      </c>
      <c r="K101" s="120">
        <v>3</v>
      </c>
      <c r="L101" s="120">
        <v>1</v>
      </c>
      <c r="M101" s="120">
        <v>1</v>
      </c>
      <c r="N101" s="120">
        <v>1</v>
      </c>
      <c r="O101" s="120">
        <v>1</v>
      </c>
      <c r="P101" s="120"/>
      <c r="Q101" s="120"/>
      <c r="R101" s="120">
        <f t="shared" si="3"/>
        <v>22</v>
      </c>
      <c r="S101" s="32"/>
      <c r="T101" s="32"/>
      <c r="U101" s="32"/>
      <c r="V101" s="32"/>
      <c r="W101" s="32"/>
      <c r="X101" s="32"/>
    </row>
    <row r="102" spans="1:24" ht="12.75" customHeight="1" x14ac:dyDescent="0.2">
      <c r="A102" s="127" t="s">
        <v>200</v>
      </c>
      <c r="B102" s="124" t="s">
        <v>81</v>
      </c>
      <c r="C102" s="126">
        <f t="shared" si="2"/>
        <v>5</v>
      </c>
      <c r="D102" s="80"/>
      <c r="E102" s="120"/>
      <c r="F102" s="120"/>
      <c r="G102" s="120"/>
      <c r="H102" s="120"/>
      <c r="I102" s="120"/>
      <c r="J102" s="120"/>
      <c r="K102" s="120"/>
      <c r="L102" s="120">
        <v>1</v>
      </c>
      <c r="M102" s="120">
        <v>1</v>
      </c>
      <c r="N102" s="120"/>
      <c r="O102" s="120">
        <v>1</v>
      </c>
      <c r="P102" s="120">
        <v>2</v>
      </c>
      <c r="Q102" s="120"/>
      <c r="R102" s="120">
        <f t="shared" si="3"/>
        <v>5</v>
      </c>
      <c r="S102" s="32"/>
      <c r="T102" s="32"/>
      <c r="U102" s="32"/>
      <c r="V102" s="32"/>
      <c r="W102" s="32"/>
      <c r="X102" s="32"/>
    </row>
    <row r="103" spans="1:24" ht="12.75" customHeight="1" x14ac:dyDescent="0.2">
      <c r="A103" s="125" t="s">
        <v>84</v>
      </c>
      <c r="B103" s="124" t="s">
        <v>81</v>
      </c>
      <c r="C103" s="126">
        <f t="shared" si="2"/>
        <v>1</v>
      </c>
      <c r="D103" s="80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>
        <v>1</v>
      </c>
      <c r="R103" s="83">
        <f t="shared" si="3"/>
        <v>1</v>
      </c>
      <c r="S103" s="32"/>
      <c r="T103" s="32"/>
      <c r="U103" s="32"/>
      <c r="V103" s="32"/>
      <c r="W103" s="32"/>
      <c r="X103" s="32"/>
    </row>
    <row r="104" spans="1:24" ht="12.75" customHeight="1" x14ac:dyDescent="0.2">
      <c r="A104" s="127" t="s">
        <v>201</v>
      </c>
      <c r="B104" s="124" t="s">
        <v>93</v>
      </c>
      <c r="C104" s="126">
        <f>+(1.5*2+8.36)*10</f>
        <v>113.6</v>
      </c>
      <c r="D104" s="80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>
        <f t="shared" si="3"/>
        <v>0</v>
      </c>
      <c r="S104" s="32"/>
      <c r="T104" s="32"/>
      <c r="U104" s="32"/>
      <c r="V104" s="32"/>
      <c r="W104" s="32"/>
      <c r="X104" s="32"/>
    </row>
    <row r="105" spans="1:24" ht="12.75" customHeight="1" x14ac:dyDescent="0.2">
      <c r="A105" s="125"/>
      <c r="B105" s="124"/>
      <c r="C105" s="126"/>
      <c r="D105" s="80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32"/>
      <c r="S105" s="32"/>
      <c r="T105" s="32"/>
      <c r="U105" s="32"/>
      <c r="V105" s="32"/>
      <c r="W105" s="32"/>
      <c r="X105" s="32"/>
    </row>
    <row r="106" spans="1:24" ht="12.75" customHeight="1" x14ac:dyDescent="0.2">
      <c r="A106" s="128" t="s">
        <v>150</v>
      </c>
      <c r="B106" s="129" t="s">
        <v>90</v>
      </c>
      <c r="C106" s="126">
        <v>1</v>
      </c>
      <c r="D106" s="76"/>
      <c r="E106" s="57"/>
      <c r="F106" s="60"/>
      <c r="G106" s="60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2.75" customHeight="1" x14ac:dyDescent="0.2">
      <c r="A107" s="125"/>
      <c r="B107" s="124"/>
      <c r="C107" s="126"/>
      <c r="D107" s="76"/>
      <c r="E107" s="57"/>
      <c r="F107" s="60"/>
      <c r="G107" s="60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 ht="12.75" customHeight="1" x14ac:dyDescent="0.2">
      <c r="A108" s="128" t="s">
        <v>151</v>
      </c>
      <c r="B108" s="129" t="s">
        <v>90</v>
      </c>
      <c r="C108" s="126">
        <v>1</v>
      </c>
      <c r="D108" s="76"/>
      <c r="E108" s="57"/>
      <c r="F108" s="60"/>
      <c r="G108" s="60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 ht="12.75" customHeight="1" x14ac:dyDescent="0.2">
      <c r="A109" s="125"/>
      <c r="B109" s="124"/>
      <c r="C109" s="126"/>
      <c r="D109" s="76"/>
      <c r="E109" s="57"/>
      <c r="F109" s="60"/>
      <c r="G109" s="60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 ht="12.75" customHeight="1" x14ac:dyDescent="0.2">
      <c r="A110" s="128" t="s">
        <v>152</v>
      </c>
      <c r="B110" s="124"/>
      <c r="C110" s="126"/>
      <c r="D110" s="76"/>
      <c r="E110" s="57"/>
      <c r="F110" s="60"/>
      <c r="G110" s="57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 ht="12.75" customHeight="1" x14ac:dyDescent="0.2">
      <c r="A111" s="125" t="s">
        <v>228</v>
      </c>
      <c r="B111" s="124" t="s">
        <v>81</v>
      </c>
      <c r="C111" s="126">
        <v>1</v>
      </c>
      <c r="D111" s="76"/>
      <c r="E111" s="57"/>
      <c r="F111" s="60"/>
      <c r="G111" s="57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 ht="12.75" customHeight="1" x14ac:dyDescent="0.2">
      <c r="A112" s="125"/>
      <c r="B112" s="124"/>
      <c r="C112" s="126"/>
      <c r="D112" s="76"/>
      <c r="E112" s="57"/>
      <c r="F112" s="60"/>
      <c r="G112" s="57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 ht="12.75" customHeight="1" x14ac:dyDescent="0.2">
      <c r="A113" s="128" t="s">
        <v>153</v>
      </c>
      <c r="B113" s="124"/>
      <c r="C113" s="126"/>
      <c r="D113" s="76"/>
      <c r="E113" s="57"/>
      <c r="F113" s="60"/>
      <c r="G113" s="57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 ht="12.75" customHeight="1" x14ac:dyDescent="0.2">
      <c r="A114" s="125" t="s">
        <v>154</v>
      </c>
      <c r="B114" s="124" t="s">
        <v>99</v>
      </c>
      <c r="C114" s="126">
        <f>+Albañileria!Z2</f>
        <v>1307.7820000000002</v>
      </c>
      <c r="D114" s="76"/>
      <c r="E114" s="57"/>
      <c r="F114" s="60"/>
      <c r="G114" s="57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 ht="12.75" customHeight="1" x14ac:dyDescent="0.2">
      <c r="A115" s="125" t="s">
        <v>155</v>
      </c>
      <c r="B115" s="124" t="s">
        <v>99</v>
      </c>
      <c r="C115" s="126">
        <f>+'Rev. exterior'!G16</f>
        <v>1100.6999999999998</v>
      </c>
      <c r="D115" s="76"/>
      <c r="E115" s="57"/>
      <c r="F115" s="60"/>
      <c r="G115" s="57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 ht="12.75" customHeight="1" x14ac:dyDescent="0.2">
      <c r="A116" s="125" t="s">
        <v>156</v>
      </c>
      <c r="B116" s="124" t="s">
        <v>99</v>
      </c>
      <c r="C116" s="126">
        <f>+'Rev. exterior'!F16</f>
        <v>997.84000000000026</v>
      </c>
      <c r="D116" s="76">
        <f>+C116+C115</f>
        <v>2098.54</v>
      </c>
      <c r="E116" s="57"/>
      <c r="F116" s="60"/>
      <c r="G116" s="57"/>
      <c r="I116" s="32"/>
      <c r="J116" s="32"/>
    </row>
    <row r="117" spans="1:24" ht="12.75" customHeight="1" x14ac:dyDescent="0.2">
      <c r="A117" s="125" t="s">
        <v>157</v>
      </c>
      <c r="B117" s="124" t="s">
        <v>99</v>
      </c>
      <c r="C117" s="126">
        <f>+Albañileria!AA2</f>
        <v>448.11810000000003</v>
      </c>
      <c r="D117" s="76"/>
      <c r="E117" s="57"/>
      <c r="F117" s="60"/>
      <c r="G117" s="57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 ht="12.75" customHeight="1" x14ac:dyDescent="0.2">
      <c r="A118" s="125" t="s">
        <v>158</v>
      </c>
      <c r="B118" s="124" t="s">
        <v>99</v>
      </c>
      <c r="C118" s="126">
        <f>+'Rev. exterior'!O17</f>
        <v>395.88599999999997</v>
      </c>
      <c r="D118" s="76"/>
      <c r="E118" s="57"/>
      <c r="F118" s="60"/>
      <c r="G118" s="57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 ht="12.75" customHeight="1" x14ac:dyDescent="0.2">
      <c r="A119" s="125" t="s">
        <v>159</v>
      </c>
      <c r="B119" s="124" t="s">
        <v>99</v>
      </c>
      <c r="C119" s="126"/>
      <c r="D119" s="76"/>
      <c r="E119" s="57"/>
      <c r="F119" s="60"/>
      <c r="G119" s="57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 ht="12.75" customHeight="1" x14ac:dyDescent="0.2">
      <c r="A120" s="125" t="s">
        <v>205</v>
      </c>
      <c r="B120" s="124" t="s">
        <v>99</v>
      </c>
      <c r="C120" s="126"/>
      <c r="D120" s="76"/>
      <c r="E120" s="57"/>
      <c r="F120" s="60"/>
      <c r="G120" s="57"/>
      <c r="I120" s="32"/>
      <c r="J120" s="32"/>
    </row>
    <row r="121" spans="1:24" ht="12.75" customHeight="1" x14ac:dyDescent="0.2">
      <c r="A121" s="125" t="s">
        <v>160</v>
      </c>
      <c r="B121" s="124" t="s">
        <v>99</v>
      </c>
      <c r="C121" s="126">
        <f>+Albañileria!L2</f>
        <v>150.416</v>
      </c>
      <c r="D121" s="76"/>
      <c r="E121" s="57"/>
      <c r="F121" s="60"/>
      <c r="G121" s="57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 ht="12.75" customHeight="1" x14ac:dyDescent="0.2">
      <c r="A122" s="125"/>
      <c r="B122" s="124"/>
      <c r="C122" s="126"/>
      <c r="D122" s="79"/>
      <c r="E122" s="57"/>
      <c r="F122" s="60"/>
      <c r="G122" s="57"/>
      <c r="I122" s="32"/>
      <c r="J122" s="32"/>
    </row>
    <row r="123" spans="1:24" ht="12.75" customHeight="1" x14ac:dyDescent="0.2">
      <c r="A123" s="128" t="s">
        <v>161</v>
      </c>
      <c r="B123" s="124"/>
      <c r="C123" s="126"/>
      <c r="D123" s="76"/>
      <c r="E123" s="57"/>
      <c r="F123" s="60"/>
      <c r="G123" s="57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 ht="12.75" customHeight="1" x14ac:dyDescent="0.2">
      <c r="A124" s="125" t="s">
        <v>162</v>
      </c>
      <c r="B124" s="124" t="s">
        <v>81</v>
      </c>
      <c r="C124" s="126">
        <v>20</v>
      </c>
      <c r="D124" s="79"/>
      <c r="E124" s="57"/>
      <c r="F124" s="60"/>
      <c r="G124" s="57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 ht="12.75" customHeight="1" x14ac:dyDescent="0.2">
      <c r="A125" s="125" t="s">
        <v>163</v>
      </c>
      <c r="B125" s="124" t="s">
        <v>81</v>
      </c>
      <c r="C125" s="126">
        <v>47</v>
      </c>
      <c r="D125" s="79"/>
      <c r="E125" s="57"/>
      <c r="F125" s="60"/>
      <c r="G125" s="57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 ht="12.75" customHeight="1" x14ac:dyDescent="0.2">
      <c r="A126" s="125" t="s">
        <v>164</v>
      </c>
      <c r="B126" s="124" t="s">
        <v>90</v>
      </c>
      <c r="C126" s="126">
        <v>1</v>
      </c>
      <c r="D126" s="79"/>
      <c r="E126" s="57"/>
      <c r="F126" s="60"/>
      <c r="G126" s="57"/>
      <c r="I126" s="32"/>
      <c r="J126" s="32"/>
    </row>
    <row r="127" spans="1:24" ht="12.75" customHeight="1" x14ac:dyDescent="0.2">
      <c r="A127" s="125" t="s">
        <v>165</v>
      </c>
      <c r="B127" s="124" t="s">
        <v>90</v>
      </c>
      <c r="C127" s="126">
        <v>1</v>
      </c>
      <c r="D127" s="79"/>
      <c r="E127" s="57"/>
      <c r="F127" s="60"/>
      <c r="G127" s="57"/>
      <c r="I127" s="32"/>
      <c r="J127" s="32"/>
    </row>
    <row r="128" spans="1:24" ht="12.75" customHeight="1" x14ac:dyDescent="0.2">
      <c r="A128" s="125" t="s">
        <v>166</v>
      </c>
      <c r="B128" s="124" t="s">
        <v>90</v>
      </c>
      <c r="C128" s="126">
        <v>1</v>
      </c>
      <c r="D128" s="79"/>
      <c r="E128" s="57"/>
      <c r="F128" s="60"/>
      <c r="G128" s="57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 s="90" customFormat="1" ht="12.75" customHeight="1" x14ac:dyDescent="0.2">
      <c r="A129" s="125"/>
      <c r="B129" s="124"/>
      <c r="C129" s="126"/>
      <c r="D129" s="79"/>
      <c r="E129" s="57"/>
      <c r="F129" s="60"/>
      <c r="G129" s="57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 ht="12.75" customHeight="1" x14ac:dyDescent="0.2">
      <c r="C130" s="32"/>
      <c r="D130" s="76"/>
      <c r="E130" s="32"/>
      <c r="F130" s="57"/>
      <c r="G130" s="57"/>
    </row>
    <row r="131" spans="1:24" ht="12.75" customHeight="1" x14ac:dyDescent="0.2">
      <c r="C131" s="32"/>
      <c r="D131" s="76"/>
      <c r="E131" s="32"/>
      <c r="F131" s="57"/>
      <c r="G131" s="57"/>
    </row>
    <row r="132" spans="1:24" ht="12.75" customHeight="1" x14ac:dyDescent="0.2">
      <c r="C132" s="32"/>
      <c r="D132" s="76"/>
      <c r="E132" s="32"/>
      <c r="F132" s="57"/>
      <c r="G132" s="57"/>
    </row>
    <row r="133" spans="1:24" ht="12.75" customHeight="1" x14ac:dyDescent="0.2">
      <c r="C133" s="32"/>
      <c r="D133" s="76"/>
      <c r="E133" s="32"/>
      <c r="F133" s="57"/>
      <c r="G133" s="57"/>
    </row>
    <row r="134" spans="1:24" ht="12.75" customHeight="1" x14ac:dyDescent="0.2">
      <c r="C134" s="32"/>
      <c r="D134" s="76"/>
      <c r="E134" s="32"/>
      <c r="F134" s="57"/>
      <c r="G134" s="57"/>
    </row>
    <row r="135" spans="1:24" ht="12.75" customHeight="1" x14ac:dyDescent="0.2">
      <c r="C135" s="32"/>
      <c r="D135" s="76"/>
      <c r="E135" s="32"/>
      <c r="F135" s="57"/>
      <c r="G135" s="57"/>
    </row>
    <row r="136" spans="1:24" ht="12.75" customHeight="1" x14ac:dyDescent="0.2">
      <c r="C136" s="32"/>
      <c r="D136" s="76"/>
      <c r="E136" s="32"/>
      <c r="F136" s="57"/>
      <c r="G136" s="57"/>
    </row>
    <row r="137" spans="1:24" ht="12.75" customHeight="1" x14ac:dyDescent="0.2">
      <c r="C137" s="32"/>
      <c r="D137" s="76"/>
      <c r="E137" s="32"/>
      <c r="F137" s="57"/>
      <c r="G137" s="57"/>
    </row>
    <row r="138" spans="1:24" ht="12.75" customHeight="1" x14ac:dyDescent="0.2">
      <c r="C138" s="32"/>
      <c r="D138" s="76"/>
      <c r="E138" s="32"/>
      <c r="F138" s="57"/>
      <c r="G138" s="57"/>
    </row>
    <row r="139" spans="1:24" ht="12.75" customHeight="1" x14ac:dyDescent="0.2">
      <c r="C139" s="32"/>
      <c r="D139" s="76"/>
      <c r="E139" s="32"/>
      <c r="F139" s="57"/>
      <c r="G139" s="57"/>
    </row>
    <row r="140" spans="1:24" ht="12.75" customHeight="1" x14ac:dyDescent="0.2">
      <c r="C140" s="32"/>
      <c r="D140" s="76"/>
      <c r="E140" s="32"/>
      <c r="F140" s="57"/>
      <c r="G140" s="57"/>
    </row>
    <row r="141" spans="1:24" ht="12.75" customHeight="1" x14ac:dyDescent="0.2">
      <c r="C141" s="32"/>
      <c r="D141" s="76"/>
      <c r="E141" s="32"/>
      <c r="F141" s="57"/>
      <c r="G141" s="57"/>
    </row>
    <row r="142" spans="1:24" ht="12.75" customHeight="1" x14ac:dyDescent="0.2">
      <c r="C142" s="32"/>
      <c r="D142" s="76"/>
      <c r="E142" s="32"/>
      <c r="F142" s="57"/>
      <c r="G142" s="57"/>
    </row>
    <row r="143" spans="1:24" ht="12.75" customHeight="1" x14ac:dyDescent="0.2">
      <c r="C143" s="32"/>
      <c r="D143" s="76"/>
      <c r="E143" s="32"/>
      <c r="F143" s="57"/>
      <c r="G143" s="57"/>
    </row>
    <row r="144" spans="1:24" ht="12.75" customHeight="1" x14ac:dyDescent="0.2">
      <c r="C144" s="32"/>
      <c r="D144" s="76"/>
      <c r="E144" s="32"/>
      <c r="F144" s="57"/>
      <c r="G144" s="57"/>
    </row>
    <row r="145" spans="3:7" ht="12.75" customHeight="1" x14ac:dyDescent="0.2">
      <c r="C145" s="32"/>
      <c r="D145" s="76"/>
      <c r="E145" s="32"/>
      <c r="F145" s="57"/>
      <c r="G145" s="57"/>
    </row>
    <row r="146" spans="3:7" ht="12.75" customHeight="1" x14ac:dyDescent="0.2">
      <c r="C146" s="32"/>
      <c r="D146" s="76"/>
      <c r="E146" s="32"/>
      <c r="F146" s="57"/>
      <c r="G146" s="57"/>
    </row>
    <row r="147" spans="3:7" ht="12.75" customHeight="1" x14ac:dyDescent="0.2">
      <c r="C147" s="32"/>
      <c r="D147" s="76"/>
      <c r="E147" s="32"/>
      <c r="F147" s="57"/>
      <c r="G147" s="57"/>
    </row>
    <row r="148" spans="3:7" ht="12.75" customHeight="1" x14ac:dyDescent="0.2">
      <c r="C148" s="32"/>
      <c r="D148" s="76"/>
      <c r="E148" s="32"/>
      <c r="F148" s="57"/>
      <c r="G148" s="57"/>
    </row>
    <row r="149" spans="3:7" ht="12.75" customHeight="1" x14ac:dyDescent="0.2">
      <c r="C149" s="32"/>
      <c r="D149" s="76"/>
      <c r="E149" s="32"/>
      <c r="F149" s="57"/>
      <c r="G149" s="57"/>
    </row>
    <row r="150" spans="3:7" ht="12.75" customHeight="1" x14ac:dyDescent="0.2">
      <c r="C150" s="32"/>
      <c r="D150" s="76"/>
      <c r="E150" s="32"/>
      <c r="F150" s="57"/>
      <c r="G150" s="57"/>
    </row>
    <row r="151" spans="3:7" ht="12.75" customHeight="1" x14ac:dyDescent="0.2">
      <c r="C151" s="32"/>
      <c r="D151" s="76"/>
      <c r="E151" s="32"/>
      <c r="F151" s="57"/>
      <c r="G151" s="57"/>
    </row>
    <row r="152" spans="3:7" ht="12.75" customHeight="1" x14ac:dyDescent="0.2">
      <c r="C152" s="32"/>
      <c r="D152" s="76"/>
      <c r="E152" s="32"/>
      <c r="F152" s="57"/>
      <c r="G152" s="57"/>
    </row>
    <row r="153" spans="3:7" ht="12.75" customHeight="1" x14ac:dyDescent="0.2">
      <c r="C153" s="32"/>
      <c r="D153" s="76"/>
      <c r="E153" s="32"/>
      <c r="F153" s="57"/>
      <c r="G153" s="57"/>
    </row>
    <row r="154" spans="3:7" ht="12.75" customHeight="1" x14ac:dyDescent="0.2">
      <c r="C154" s="32"/>
      <c r="D154" s="76"/>
      <c r="E154" s="32"/>
      <c r="F154" s="57"/>
      <c r="G154" s="57"/>
    </row>
    <row r="155" spans="3:7" ht="12.75" customHeight="1" x14ac:dyDescent="0.2">
      <c r="C155" s="32"/>
      <c r="D155" s="76"/>
      <c r="E155" s="32"/>
      <c r="F155" s="57"/>
      <c r="G155" s="57"/>
    </row>
    <row r="156" spans="3:7" ht="12.75" customHeight="1" x14ac:dyDescent="0.2">
      <c r="C156" s="32"/>
      <c r="D156" s="76"/>
      <c r="E156" s="32"/>
      <c r="F156" s="57"/>
      <c r="G156" s="57"/>
    </row>
    <row r="157" spans="3:7" ht="12.75" customHeight="1" x14ac:dyDescent="0.2">
      <c r="C157" s="32"/>
      <c r="D157" s="76"/>
      <c r="E157" s="32"/>
      <c r="F157" s="57"/>
      <c r="G157" s="57"/>
    </row>
    <row r="158" spans="3:7" ht="12.75" customHeight="1" x14ac:dyDescent="0.2">
      <c r="C158" s="32"/>
      <c r="D158" s="76"/>
      <c r="E158" s="32"/>
      <c r="F158" s="57"/>
      <c r="G158" s="57"/>
    </row>
    <row r="159" spans="3:7" ht="12.75" customHeight="1" x14ac:dyDescent="0.2">
      <c r="C159" s="32"/>
      <c r="D159" s="76"/>
      <c r="E159" s="32"/>
      <c r="F159" s="57"/>
      <c r="G159" s="57"/>
    </row>
    <row r="160" spans="3:7" ht="12.75" customHeight="1" x14ac:dyDescent="0.2">
      <c r="C160" s="32"/>
      <c r="D160" s="76"/>
      <c r="E160" s="32"/>
      <c r="F160" s="57"/>
      <c r="G160" s="57"/>
    </row>
    <row r="161" spans="3:7" ht="12.75" customHeight="1" x14ac:dyDescent="0.2">
      <c r="C161" s="32"/>
      <c r="D161" s="76"/>
      <c r="E161" s="32"/>
      <c r="F161" s="57"/>
      <c r="G161" s="57"/>
    </row>
    <row r="162" spans="3:7" ht="12.75" customHeight="1" x14ac:dyDescent="0.2">
      <c r="C162" s="32"/>
      <c r="D162" s="76"/>
      <c r="E162" s="32"/>
      <c r="F162" s="57"/>
      <c r="G162" s="57"/>
    </row>
    <row r="163" spans="3:7" ht="12.75" customHeight="1" x14ac:dyDescent="0.2">
      <c r="C163" s="32"/>
      <c r="D163" s="76"/>
      <c r="E163" s="32"/>
      <c r="F163" s="57"/>
      <c r="G163" s="57"/>
    </row>
    <row r="164" spans="3:7" ht="12.75" customHeight="1" x14ac:dyDescent="0.2">
      <c r="C164" s="32"/>
      <c r="D164" s="76"/>
      <c r="E164" s="32"/>
      <c r="F164" s="57"/>
      <c r="G164" s="57"/>
    </row>
    <row r="165" spans="3:7" ht="12.75" customHeight="1" x14ac:dyDescent="0.2">
      <c r="C165" s="32"/>
      <c r="D165" s="76"/>
      <c r="E165" s="32"/>
      <c r="F165" s="57"/>
      <c r="G165" s="57"/>
    </row>
    <row r="166" spans="3:7" ht="12.75" customHeight="1" x14ac:dyDescent="0.2">
      <c r="C166" s="32"/>
      <c r="D166" s="76"/>
      <c r="E166" s="32"/>
      <c r="F166" s="57"/>
      <c r="G166" s="57"/>
    </row>
    <row r="167" spans="3:7" ht="12.75" customHeight="1" x14ac:dyDescent="0.2">
      <c r="C167" s="32"/>
      <c r="D167" s="76"/>
      <c r="E167" s="32"/>
      <c r="F167" s="57"/>
      <c r="G167" s="57"/>
    </row>
    <row r="168" spans="3:7" ht="12.75" customHeight="1" x14ac:dyDescent="0.2">
      <c r="C168" s="32"/>
      <c r="D168" s="76"/>
      <c r="E168" s="32"/>
      <c r="F168" s="57"/>
      <c r="G168" s="57"/>
    </row>
    <row r="169" spans="3:7" ht="12.75" customHeight="1" x14ac:dyDescent="0.2">
      <c r="C169" s="32"/>
      <c r="D169" s="76"/>
      <c r="E169" s="32"/>
      <c r="F169" s="57"/>
      <c r="G169" s="57"/>
    </row>
    <row r="170" spans="3:7" ht="12.75" customHeight="1" x14ac:dyDescent="0.2">
      <c r="C170" s="32"/>
      <c r="D170" s="76"/>
      <c r="E170" s="32"/>
      <c r="F170" s="57"/>
      <c r="G170" s="57"/>
    </row>
    <row r="171" spans="3:7" ht="12.75" customHeight="1" x14ac:dyDescent="0.2">
      <c r="C171" s="32"/>
      <c r="D171" s="76"/>
      <c r="E171" s="32"/>
      <c r="F171" s="57"/>
      <c r="G171" s="57"/>
    </row>
    <row r="172" spans="3:7" ht="12.75" customHeight="1" x14ac:dyDescent="0.2">
      <c r="C172" s="32"/>
      <c r="D172" s="76"/>
      <c r="E172" s="32"/>
      <c r="F172" s="57"/>
      <c r="G172" s="57"/>
    </row>
    <row r="173" spans="3:7" ht="12.75" customHeight="1" x14ac:dyDescent="0.2">
      <c r="C173" s="32"/>
      <c r="D173" s="76"/>
      <c r="E173" s="32"/>
      <c r="F173" s="57"/>
      <c r="G173" s="57"/>
    </row>
    <row r="174" spans="3:7" ht="12.75" customHeight="1" x14ac:dyDescent="0.2">
      <c r="C174" s="32"/>
      <c r="D174" s="76"/>
      <c r="E174" s="32"/>
      <c r="F174" s="57"/>
      <c r="G174" s="57"/>
    </row>
    <row r="175" spans="3:7" ht="12.75" customHeight="1" x14ac:dyDescent="0.2">
      <c r="C175" s="32"/>
      <c r="D175" s="76"/>
      <c r="E175" s="32"/>
      <c r="F175" s="57"/>
      <c r="G175" s="57"/>
    </row>
    <row r="176" spans="3:7" ht="12.75" customHeight="1" x14ac:dyDescent="0.2">
      <c r="C176" s="32"/>
      <c r="D176" s="76"/>
      <c r="E176" s="32"/>
      <c r="F176" s="57"/>
      <c r="G176" s="57"/>
    </row>
    <row r="177" spans="3:7" ht="12.75" customHeight="1" x14ac:dyDescent="0.2">
      <c r="C177" s="32"/>
      <c r="D177" s="76"/>
      <c r="E177" s="32"/>
      <c r="F177" s="57"/>
      <c r="G177" s="57"/>
    </row>
    <row r="178" spans="3:7" ht="12.75" customHeight="1" x14ac:dyDescent="0.2">
      <c r="C178" s="32"/>
      <c r="D178" s="76"/>
      <c r="E178" s="32"/>
      <c r="F178" s="57"/>
      <c r="G178" s="57"/>
    </row>
    <row r="179" spans="3:7" ht="12.75" customHeight="1" x14ac:dyDescent="0.2">
      <c r="C179" s="32"/>
      <c r="D179" s="76"/>
      <c r="E179" s="32"/>
      <c r="F179" s="57"/>
      <c r="G179" s="57"/>
    </row>
    <row r="180" spans="3:7" ht="12.75" customHeight="1" x14ac:dyDescent="0.2">
      <c r="C180" s="32"/>
      <c r="D180" s="76"/>
      <c r="E180" s="32"/>
      <c r="F180" s="57"/>
      <c r="G180" s="57"/>
    </row>
    <row r="181" spans="3:7" ht="12.75" customHeight="1" x14ac:dyDescent="0.2">
      <c r="C181" s="32"/>
      <c r="D181" s="76"/>
      <c r="E181" s="32"/>
      <c r="F181" s="57"/>
      <c r="G181" s="57"/>
    </row>
    <row r="182" spans="3:7" ht="12.75" customHeight="1" x14ac:dyDescent="0.2">
      <c r="C182" s="32"/>
      <c r="D182" s="76"/>
      <c r="E182" s="32"/>
      <c r="F182" s="57"/>
      <c r="G182" s="57"/>
    </row>
    <row r="183" spans="3:7" ht="12.75" customHeight="1" x14ac:dyDescent="0.2">
      <c r="C183" s="32"/>
      <c r="D183" s="76"/>
      <c r="E183" s="32"/>
      <c r="F183" s="57"/>
      <c r="G183" s="57"/>
    </row>
    <row r="184" spans="3:7" ht="12.75" customHeight="1" x14ac:dyDescent="0.2">
      <c r="C184" s="32"/>
      <c r="D184" s="76"/>
      <c r="E184" s="32"/>
      <c r="F184" s="57"/>
      <c r="G184" s="57"/>
    </row>
    <row r="185" spans="3:7" ht="12.75" customHeight="1" x14ac:dyDescent="0.2">
      <c r="C185" s="32"/>
      <c r="D185" s="76"/>
      <c r="E185" s="32"/>
      <c r="F185" s="57"/>
      <c r="G185" s="57"/>
    </row>
    <row r="186" spans="3:7" ht="12.75" customHeight="1" x14ac:dyDescent="0.2">
      <c r="C186" s="32"/>
      <c r="D186" s="76"/>
      <c r="E186" s="32"/>
      <c r="F186" s="57"/>
      <c r="G186" s="57"/>
    </row>
    <row r="187" spans="3:7" ht="12.75" customHeight="1" x14ac:dyDescent="0.2">
      <c r="C187" s="32"/>
      <c r="D187" s="76"/>
      <c r="E187" s="32"/>
      <c r="F187" s="57"/>
      <c r="G187" s="57"/>
    </row>
    <row r="188" spans="3:7" ht="12.75" customHeight="1" x14ac:dyDescent="0.2">
      <c r="C188" s="32"/>
      <c r="D188" s="76"/>
      <c r="E188" s="32"/>
      <c r="F188" s="57"/>
      <c r="G188" s="57"/>
    </row>
    <row r="189" spans="3:7" ht="12.75" customHeight="1" x14ac:dyDescent="0.2">
      <c r="C189" s="32"/>
      <c r="D189" s="76"/>
      <c r="E189" s="32"/>
      <c r="F189" s="57"/>
      <c r="G189" s="57"/>
    </row>
    <row r="190" spans="3:7" ht="12.75" customHeight="1" x14ac:dyDescent="0.2">
      <c r="C190" s="32"/>
      <c r="D190" s="76"/>
      <c r="E190" s="32"/>
      <c r="F190" s="57"/>
      <c r="G190" s="57"/>
    </row>
    <row r="191" spans="3:7" ht="12.75" customHeight="1" x14ac:dyDescent="0.2">
      <c r="C191" s="32"/>
      <c r="D191" s="76"/>
      <c r="E191" s="32"/>
      <c r="F191" s="57"/>
      <c r="G191" s="57"/>
    </row>
    <row r="192" spans="3:7" ht="12.75" customHeight="1" x14ac:dyDescent="0.2">
      <c r="C192" s="32"/>
      <c r="D192" s="76"/>
      <c r="E192" s="32"/>
      <c r="F192" s="57"/>
      <c r="G192" s="57"/>
    </row>
    <row r="193" spans="3:7" ht="12.75" customHeight="1" x14ac:dyDescent="0.2">
      <c r="C193" s="32"/>
      <c r="D193" s="76"/>
      <c r="E193" s="32"/>
      <c r="F193" s="57"/>
      <c r="G193" s="57"/>
    </row>
    <row r="194" spans="3:7" ht="12.75" customHeight="1" x14ac:dyDescent="0.2">
      <c r="C194" s="32"/>
      <c r="D194" s="76"/>
      <c r="E194" s="32"/>
      <c r="F194" s="57"/>
      <c r="G194" s="57"/>
    </row>
    <row r="195" spans="3:7" ht="12.75" customHeight="1" x14ac:dyDescent="0.2">
      <c r="C195" s="32"/>
      <c r="D195" s="76"/>
      <c r="E195" s="32"/>
      <c r="F195" s="57"/>
      <c r="G195" s="57"/>
    </row>
    <row r="196" spans="3:7" ht="12.75" customHeight="1" x14ac:dyDescent="0.2">
      <c r="C196" s="32"/>
      <c r="D196" s="76"/>
      <c r="E196" s="32"/>
      <c r="F196" s="57"/>
      <c r="G196" s="57"/>
    </row>
    <row r="197" spans="3:7" ht="12.75" customHeight="1" x14ac:dyDescent="0.2">
      <c r="C197" s="32"/>
      <c r="D197" s="76"/>
      <c r="E197" s="32"/>
      <c r="F197" s="57"/>
      <c r="G197" s="57"/>
    </row>
    <row r="198" spans="3:7" ht="12.75" customHeight="1" x14ac:dyDescent="0.2">
      <c r="C198" s="32"/>
      <c r="D198" s="76"/>
      <c r="E198" s="32"/>
      <c r="F198" s="57"/>
      <c r="G198" s="57"/>
    </row>
    <row r="199" spans="3:7" ht="12.75" customHeight="1" x14ac:dyDescent="0.2">
      <c r="C199" s="32"/>
      <c r="D199" s="76"/>
      <c r="E199" s="32"/>
      <c r="F199" s="57"/>
      <c r="G199" s="57"/>
    </row>
    <row r="200" spans="3:7" ht="12.75" customHeight="1" x14ac:dyDescent="0.2">
      <c r="C200" s="32"/>
      <c r="D200" s="76"/>
      <c r="E200" s="32"/>
      <c r="F200" s="57"/>
      <c r="G200" s="57"/>
    </row>
    <row r="201" spans="3:7" ht="12.75" customHeight="1" x14ac:dyDescent="0.2">
      <c r="C201" s="32"/>
      <c r="D201" s="76"/>
      <c r="E201" s="32"/>
      <c r="F201" s="57"/>
      <c r="G201" s="57"/>
    </row>
    <row r="202" spans="3:7" ht="12.75" customHeight="1" x14ac:dyDescent="0.2">
      <c r="C202" s="32"/>
      <c r="D202" s="76"/>
      <c r="E202" s="32"/>
      <c r="F202" s="57"/>
      <c r="G202" s="57"/>
    </row>
    <row r="203" spans="3:7" ht="12.75" customHeight="1" x14ac:dyDescent="0.2">
      <c r="C203" s="32"/>
      <c r="D203" s="76"/>
      <c r="E203" s="32"/>
      <c r="F203" s="57"/>
      <c r="G203" s="57"/>
    </row>
    <row r="204" spans="3:7" ht="12.75" customHeight="1" x14ac:dyDescent="0.2">
      <c r="C204" s="32"/>
      <c r="D204" s="76"/>
      <c r="E204" s="32"/>
      <c r="F204" s="57"/>
      <c r="G204" s="57"/>
    </row>
    <row r="205" spans="3:7" ht="12.75" customHeight="1" x14ac:dyDescent="0.2">
      <c r="C205" s="32"/>
      <c r="D205" s="76"/>
      <c r="E205" s="32"/>
      <c r="F205" s="57"/>
      <c r="G205" s="57"/>
    </row>
    <row r="206" spans="3:7" ht="12.75" customHeight="1" x14ac:dyDescent="0.2">
      <c r="C206" s="32"/>
      <c r="D206" s="76"/>
      <c r="E206" s="32"/>
      <c r="F206" s="57"/>
      <c r="G206" s="57"/>
    </row>
    <row r="207" spans="3:7" ht="12.75" customHeight="1" x14ac:dyDescent="0.2">
      <c r="C207" s="32"/>
      <c r="D207" s="76"/>
      <c r="E207" s="32"/>
      <c r="F207" s="57"/>
      <c r="G207" s="57"/>
    </row>
    <row r="208" spans="3:7" ht="12.75" customHeight="1" x14ac:dyDescent="0.2">
      <c r="C208" s="32"/>
      <c r="D208" s="76"/>
      <c r="E208" s="32"/>
      <c r="F208" s="57"/>
      <c r="G208" s="57"/>
    </row>
    <row r="209" spans="3:7" ht="12.75" customHeight="1" x14ac:dyDescent="0.2">
      <c r="C209" s="32"/>
      <c r="D209" s="76"/>
      <c r="E209" s="32"/>
      <c r="F209" s="57"/>
      <c r="G209" s="57"/>
    </row>
    <row r="210" spans="3:7" ht="12.75" customHeight="1" x14ac:dyDescent="0.2">
      <c r="C210" s="32"/>
      <c r="D210" s="76"/>
      <c r="E210" s="32"/>
      <c r="F210" s="57"/>
      <c r="G210" s="57"/>
    </row>
    <row r="211" spans="3:7" ht="12.75" customHeight="1" x14ac:dyDescent="0.2">
      <c r="C211" s="32"/>
      <c r="D211" s="76"/>
      <c r="E211" s="32"/>
      <c r="F211" s="57"/>
      <c r="G211" s="57"/>
    </row>
    <row r="212" spans="3:7" ht="12.75" customHeight="1" x14ac:dyDescent="0.2">
      <c r="C212" s="32"/>
      <c r="D212" s="76"/>
      <c r="E212" s="32"/>
      <c r="F212" s="57"/>
      <c r="G212" s="57"/>
    </row>
    <row r="213" spans="3:7" ht="12.75" customHeight="1" x14ac:dyDescent="0.2">
      <c r="C213" s="32"/>
      <c r="D213" s="76"/>
      <c r="E213" s="32"/>
      <c r="F213" s="57"/>
      <c r="G213" s="57"/>
    </row>
    <row r="214" spans="3:7" ht="12.75" customHeight="1" x14ac:dyDescent="0.2">
      <c r="C214" s="32"/>
      <c r="D214" s="76"/>
      <c r="E214" s="32"/>
      <c r="F214" s="57"/>
      <c r="G214" s="57"/>
    </row>
    <row r="215" spans="3:7" ht="12.75" customHeight="1" x14ac:dyDescent="0.2">
      <c r="C215" s="32"/>
      <c r="D215" s="76"/>
      <c r="E215" s="32"/>
      <c r="F215" s="57"/>
      <c r="G215" s="57"/>
    </row>
    <row r="216" spans="3:7" ht="12.75" customHeight="1" x14ac:dyDescent="0.2">
      <c r="C216" s="32"/>
      <c r="D216" s="76"/>
      <c r="E216" s="32"/>
      <c r="F216" s="57"/>
      <c r="G216" s="57"/>
    </row>
    <row r="217" spans="3:7" ht="12.75" customHeight="1" x14ac:dyDescent="0.2">
      <c r="C217" s="32"/>
      <c r="D217" s="76"/>
      <c r="E217" s="32"/>
      <c r="F217" s="57"/>
      <c r="G217" s="57"/>
    </row>
    <row r="218" spans="3:7" ht="12.75" customHeight="1" x14ac:dyDescent="0.2">
      <c r="C218" s="32"/>
      <c r="D218" s="76"/>
      <c r="E218" s="32"/>
      <c r="F218" s="57"/>
      <c r="G218" s="57"/>
    </row>
    <row r="219" spans="3:7" ht="12.75" customHeight="1" x14ac:dyDescent="0.2">
      <c r="C219" s="32"/>
      <c r="D219" s="76"/>
      <c r="E219" s="32"/>
      <c r="F219" s="57"/>
      <c r="G219" s="57"/>
    </row>
    <row r="220" spans="3:7" ht="12.75" customHeight="1" x14ac:dyDescent="0.2">
      <c r="C220" s="32"/>
      <c r="D220" s="76"/>
      <c r="E220" s="32"/>
      <c r="F220" s="57"/>
      <c r="G220" s="57"/>
    </row>
    <row r="221" spans="3:7" ht="12.75" customHeight="1" x14ac:dyDescent="0.2">
      <c r="C221" s="32"/>
      <c r="D221" s="76"/>
      <c r="E221" s="32"/>
      <c r="F221" s="57"/>
      <c r="G221" s="57"/>
    </row>
    <row r="222" spans="3:7" ht="12.75" customHeight="1" x14ac:dyDescent="0.2">
      <c r="C222" s="32"/>
      <c r="D222" s="76"/>
      <c r="E222" s="32"/>
      <c r="F222" s="57"/>
      <c r="G222" s="57"/>
    </row>
    <row r="223" spans="3:7" ht="12.75" customHeight="1" x14ac:dyDescent="0.2">
      <c r="C223" s="32"/>
      <c r="D223" s="76"/>
      <c r="E223" s="32"/>
      <c r="F223" s="57"/>
      <c r="G223" s="57"/>
    </row>
    <row r="224" spans="3:7" ht="12.75" customHeight="1" x14ac:dyDescent="0.2">
      <c r="C224" s="32"/>
      <c r="D224" s="76"/>
      <c r="E224" s="32"/>
      <c r="F224" s="57"/>
      <c r="G224" s="57"/>
    </row>
    <row r="225" spans="3:7" ht="12.75" customHeight="1" x14ac:dyDescent="0.2">
      <c r="C225" s="32"/>
      <c r="D225" s="76"/>
      <c r="E225" s="32"/>
      <c r="F225" s="57"/>
      <c r="G225" s="57"/>
    </row>
    <row r="226" spans="3:7" ht="12.75" customHeight="1" x14ac:dyDescent="0.2">
      <c r="C226" s="32"/>
      <c r="D226" s="76"/>
      <c r="E226" s="32"/>
      <c r="F226" s="57"/>
      <c r="G226" s="57"/>
    </row>
    <row r="227" spans="3:7" ht="12.75" customHeight="1" x14ac:dyDescent="0.2">
      <c r="C227" s="32"/>
      <c r="D227" s="76"/>
      <c r="E227" s="32"/>
      <c r="F227" s="57"/>
      <c r="G227" s="57"/>
    </row>
    <row r="228" spans="3:7" ht="12.75" customHeight="1" x14ac:dyDescent="0.2">
      <c r="C228" s="32"/>
      <c r="D228" s="76"/>
      <c r="E228" s="32"/>
      <c r="F228" s="57"/>
      <c r="G228" s="57"/>
    </row>
    <row r="229" spans="3:7" ht="12.75" customHeight="1" x14ac:dyDescent="0.2">
      <c r="C229" s="32"/>
      <c r="D229" s="76"/>
      <c r="E229" s="32"/>
      <c r="F229" s="57"/>
      <c r="G229" s="57"/>
    </row>
    <row r="230" spans="3:7" ht="12.75" customHeight="1" x14ac:dyDescent="0.2">
      <c r="C230" s="32"/>
      <c r="D230" s="76"/>
      <c r="E230" s="32"/>
      <c r="F230" s="57"/>
      <c r="G230" s="57"/>
    </row>
    <row r="231" spans="3:7" ht="12.75" customHeight="1" x14ac:dyDescent="0.2">
      <c r="C231" s="32"/>
      <c r="D231" s="76"/>
      <c r="E231" s="32"/>
      <c r="F231" s="57"/>
      <c r="G231" s="57"/>
    </row>
    <row r="232" spans="3:7" ht="12.75" customHeight="1" x14ac:dyDescent="0.2">
      <c r="C232" s="32"/>
      <c r="D232" s="76"/>
      <c r="E232" s="32"/>
      <c r="F232" s="57"/>
      <c r="G232" s="57"/>
    </row>
    <row r="233" spans="3:7" ht="12.75" customHeight="1" x14ac:dyDescent="0.2">
      <c r="C233" s="32"/>
      <c r="D233" s="76"/>
      <c r="E233" s="32"/>
      <c r="F233" s="57"/>
      <c r="G233" s="57"/>
    </row>
    <row r="234" spans="3:7" ht="12.75" customHeight="1" x14ac:dyDescent="0.2">
      <c r="C234" s="32"/>
      <c r="D234" s="76"/>
      <c r="E234" s="32"/>
      <c r="F234" s="57"/>
      <c r="G234" s="57"/>
    </row>
    <row r="235" spans="3:7" ht="12.75" customHeight="1" x14ac:dyDescent="0.2">
      <c r="C235" s="32"/>
      <c r="D235" s="76"/>
      <c r="E235" s="32"/>
      <c r="F235" s="57"/>
      <c r="G235" s="57"/>
    </row>
    <row r="236" spans="3:7" ht="12.75" customHeight="1" x14ac:dyDescent="0.2">
      <c r="C236" s="32"/>
      <c r="D236" s="76"/>
      <c r="E236" s="32"/>
      <c r="F236" s="57"/>
      <c r="G236" s="57"/>
    </row>
    <row r="237" spans="3:7" ht="12.75" customHeight="1" x14ac:dyDescent="0.2">
      <c r="C237" s="32"/>
      <c r="D237" s="76"/>
      <c r="E237" s="32"/>
      <c r="F237" s="57"/>
      <c r="G237" s="57"/>
    </row>
    <row r="238" spans="3:7" ht="12.75" customHeight="1" x14ac:dyDescent="0.2">
      <c r="C238" s="32"/>
      <c r="D238" s="76"/>
      <c r="E238" s="32"/>
      <c r="F238" s="57"/>
      <c r="G238" s="57"/>
    </row>
    <row r="239" spans="3:7" ht="12.75" customHeight="1" x14ac:dyDescent="0.2">
      <c r="C239" s="32"/>
      <c r="D239" s="76"/>
      <c r="E239" s="32"/>
      <c r="F239" s="57"/>
      <c r="G239" s="57"/>
    </row>
    <row r="240" spans="3:7" ht="12.75" customHeight="1" x14ac:dyDescent="0.2">
      <c r="C240" s="32"/>
      <c r="D240" s="76"/>
      <c r="E240" s="32"/>
      <c r="F240" s="57"/>
      <c r="G240" s="57"/>
    </row>
    <row r="241" spans="3:7" ht="12.75" customHeight="1" x14ac:dyDescent="0.2">
      <c r="C241" s="32"/>
      <c r="D241" s="76"/>
      <c r="E241" s="32"/>
      <c r="F241" s="57"/>
      <c r="G241" s="57"/>
    </row>
    <row r="242" spans="3:7" ht="12.75" customHeight="1" x14ac:dyDescent="0.2">
      <c r="C242" s="32"/>
      <c r="D242" s="76"/>
      <c r="E242" s="32"/>
      <c r="F242" s="57"/>
      <c r="G242" s="57"/>
    </row>
    <row r="243" spans="3:7" ht="12.75" customHeight="1" x14ac:dyDescent="0.2">
      <c r="C243" s="32"/>
      <c r="D243" s="76"/>
      <c r="E243" s="32"/>
      <c r="F243" s="57"/>
      <c r="G243" s="57"/>
    </row>
    <row r="244" spans="3:7" ht="12.75" customHeight="1" x14ac:dyDescent="0.2">
      <c r="C244" s="32"/>
      <c r="D244" s="76"/>
      <c r="E244" s="32"/>
      <c r="F244" s="57"/>
      <c r="G244" s="57"/>
    </row>
    <row r="245" spans="3:7" ht="12.75" customHeight="1" x14ac:dyDescent="0.2">
      <c r="C245" s="32"/>
      <c r="D245" s="76"/>
      <c r="E245" s="32"/>
      <c r="F245" s="57"/>
      <c r="G245" s="57"/>
    </row>
    <row r="246" spans="3:7" ht="12.75" customHeight="1" x14ac:dyDescent="0.2">
      <c r="C246" s="32"/>
      <c r="D246" s="76"/>
      <c r="E246" s="32"/>
      <c r="F246" s="57"/>
      <c r="G246" s="57"/>
    </row>
    <row r="247" spans="3:7" ht="12.75" customHeight="1" x14ac:dyDescent="0.2">
      <c r="C247" s="32"/>
      <c r="D247" s="76"/>
      <c r="E247" s="32"/>
      <c r="F247" s="57"/>
      <c r="G247" s="57"/>
    </row>
    <row r="248" spans="3:7" ht="12.75" customHeight="1" x14ac:dyDescent="0.2">
      <c r="C248" s="32"/>
      <c r="D248" s="76"/>
      <c r="E248" s="32"/>
      <c r="F248" s="57"/>
      <c r="G248" s="57"/>
    </row>
    <row r="249" spans="3:7" ht="12.75" customHeight="1" x14ac:dyDescent="0.2">
      <c r="C249" s="32"/>
      <c r="D249" s="76"/>
      <c r="E249" s="32"/>
      <c r="F249" s="57"/>
      <c r="G249" s="57"/>
    </row>
    <row r="250" spans="3:7" ht="12.75" customHeight="1" x14ac:dyDescent="0.2">
      <c r="C250" s="32"/>
      <c r="D250" s="76"/>
      <c r="E250" s="32"/>
      <c r="F250" s="57"/>
      <c r="G250" s="57"/>
    </row>
    <row r="251" spans="3:7" ht="12.75" customHeight="1" x14ac:dyDescent="0.2">
      <c r="C251" s="32"/>
      <c r="D251" s="76"/>
      <c r="E251" s="32"/>
      <c r="F251" s="57"/>
      <c r="G251" s="57"/>
    </row>
    <row r="252" spans="3:7" ht="12.75" customHeight="1" x14ac:dyDescent="0.2">
      <c r="C252" s="32"/>
      <c r="D252" s="76"/>
      <c r="E252" s="32"/>
      <c r="F252" s="57"/>
      <c r="G252" s="57"/>
    </row>
    <row r="253" spans="3:7" ht="12.75" customHeight="1" x14ac:dyDescent="0.2">
      <c r="C253" s="32"/>
      <c r="D253" s="76"/>
      <c r="E253" s="32"/>
      <c r="F253" s="57"/>
      <c r="G253" s="57"/>
    </row>
    <row r="254" spans="3:7" ht="12.75" customHeight="1" x14ac:dyDescent="0.2">
      <c r="C254" s="32"/>
      <c r="D254" s="76"/>
      <c r="E254" s="32"/>
      <c r="F254" s="57"/>
      <c r="G254" s="57"/>
    </row>
    <row r="255" spans="3:7" ht="12.75" customHeight="1" x14ac:dyDescent="0.2">
      <c r="C255" s="32"/>
      <c r="D255" s="76"/>
      <c r="E255" s="32"/>
      <c r="F255" s="57"/>
      <c r="G255" s="57"/>
    </row>
    <row r="256" spans="3:7" ht="12.75" customHeight="1" x14ac:dyDescent="0.2">
      <c r="C256" s="32"/>
      <c r="D256" s="76"/>
      <c r="E256" s="32"/>
      <c r="F256" s="57"/>
      <c r="G256" s="57"/>
    </row>
    <row r="257" spans="3:7" ht="12.75" customHeight="1" x14ac:dyDescent="0.2">
      <c r="C257" s="32"/>
      <c r="D257" s="76"/>
      <c r="E257" s="32"/>
      <c r="F257" s="57"/>
      <c r="G257" s="57"/>
    </row>
    <row r="258" spans="3:7" ht="12.75" customHeight="1" x14ac:dyDescent="0.2">
      <c r="C258" s="32"/>
      <c r="D258" s="76"/>
      <c r="E258" s="32"/>
      <c r="F258" s="57"/>
      <c r="G258" s="57"/>
    </row>
    <row r="259" spans="3:7" ht="12.75" customHeight="1" x14ac:dyDescent="0.2">
      <c r="C259" s="32"/>
      <c r="D259" s="76"/>
      <c r="E259" s="32"/>
      <c r="F259" s="57"/>
      <c r="G259" s="57"/>
    </row>
    <row r="260" spans="3:7" ht="12.75" customHeight="1" x14ac:dyDescent="0.2">
      <c r="C260" s="32"/>
      <c r="D260" s="76"/>
      <c r="E260" s="32"/>
      <c r="F260" s="57"/>
      <c r="G260" s="57"/>
    </row>
    <row r="261" spans="3:7" ht="12.75" customHeight="1" x14ac:dyDescent="0.2">
      <c r="C261" s="32"/>
      <c r="D261" s="76"/>
      <c r="E261" s="32"/>
      <c r="F261" s="57"/>
      <c r="G261" s="57"/>
    </row>
    <row r="262" spans="3:7" ht="12.75" customHeight="1" x14ac:dyDescent="0.2">
      <c r="C262" s="32"/>
      <c r="D262" s="76"/>
      <c r="E262" s="32"/>
      <c r="F262" s="57"/>
      <c r="G262" s="57"/>
    </row>
    <row r="263" spans="3:7" ht="12.75" customHeight="1" x14ac:dyDescent="0.2">
      <c r="C263" s="32"/>
      <c r="D263" s="76"/>
      <c r="E263" s="32"/>
      <c r="F263" s="57"/>
      <c r="G263" s="57"/>
    </row>
    <row r="264" spans="3:7" ht="12.75" customHeight="1" x14ac:dyDescent="0.2">
      <c r="C264" s="32"/>
      <c r="D264" s="76"/>
      <c r="E264" s="32"/>
      <c r="F264" s="57"/>
      <c r="G264" s="57"/>
    </row>
    <row r="265" spans="3:7" ht="12.75" customHeight="1" x14ac:dyDescent="0.2">
      <c r="C265" s="32"/>
      <c r="D265" s="76"/>
      <c r="E265" s="32"/>
      <c r="F265" s="57"/>
      <c r="G265" s="57"/>
    </row>
    <row r="266" spans="3:7" ht="12.75" customHeight="1" x14ac:dyDescent="0.2">
      <c r="C266" s="32"/>
      <c r="D266" s="76"/>
      <c r="E266" s="32"/>
      <c r="F266" s="57"/>
      <c r="G266" s="57"/>
    </row>
    <row r="267" spans="3:7" ht="12.75" customHeight="1" x14ac:dyDescent="0.2">
      <c r="C267" s="32"/>
      <c r="D267" s="76"/>
      <c r="E267" s="32"/>
      <c r="F267" s="57"/>
      <c r="G267" s="57"/>
    </row>
    <row r="268" spans="3:7" ht="12.75" customHeight="1" x14ac:dyDescent="0.2">
      <c r="C268" s="32"/>
      <c r="D268" s="76"/>
      <c r="E268" s="32"/>
      <c r="F268" s="57"/>
      <c r="G268" s="57"/>
    </row>
    <row r="269" spans="3:7" ht="12.75" customHeight="1" x14ac:dyDescent="0.2">
      <c r="C269" s="32"/>
      <c r="D269" s="76"/>
      <c r="E269" s="32"/>
      <c r="F269" s="57"/>
      <c r="G269" s="57"/>
    </row>
    <row r="270" spans="3:7" ht="12.75" customHeight="1" x14ac:dyDescent="0.2">
      <c r="C270" s="32"/>
      <c r="D270" s="76"/>
      <c r="E270" s="32"/>
      <c r="F270" s="57"/>
      <c r="G270" s="57"/>
    </row>
    <row r="271" spans="3:7" ht="12.75" customHeight="1" x14ac:dyDescent="0.2">
      <c r="C271" s="32"/>
      <c r="D271" s="76"/>
      <c r="E271" s="32"/>
      <c r="F271" s="57"/>
      <c r="G271" s="57"/>
    </row>
    <row r="272" spans="3:7" ht="12.75" customHeight="1" x14ac:dyDescent="0.2">
      <c r="C272" s="32"/>
      <c r="D272" s="76"/>
      <c r="E272" s="32"/>
      <c r="F272" s="57"/>
      <c r="G272" s="57"/>
    </row>
    <row r="273" spans="3:7" ht="12.75" customHeight="1" x14ac:dyDescent="0.2">
      <c r="C273" s="32"/>
      <c r="D273" s="76"/>
      <c r="E273" s="32"/>
      <c r="F273" s="57"/>
      <c r="G273" s="57"/>
    </row>
    <row r="274" spans="3:7" ht="12.75" customHeight="1" x14ac:dyDescent="0.2">
      <c r="C274" s="32"/>
      <c r="D274" s="76"/>
      <c r="E274" s="32"/>
      <c r="F274" s="57"/>
      <c r="G274" s="57"/>
    </row>
    <row r="275" spans="3:7" ht="12.75" customHeight="1" x14ac:dyDescent="0.2">
      <c r="C275" s="32"/>
      <c r="D275" s="76"/>
      <c r="E275" s="32"/>
      <c r="F275" s="57"/>
      <c r="G275" s="57"/>
    </row>
    <row r="276" spans="3:7" ht="12.75" customHeight="1" x14ac:dyDescent="0.2">
      <c r="C276" s="32"/>
      <c r="D276" s="76"/>
      <c r="E276" s="32"/>
      <c r="F276" s="57"/>
      <c r="G276" s="57"/>
    </row>
    <row r="277" spans="3:7" ht="12.75" customHeight="1" x14ac:dyDescent="0.2">
      <c r="C277" s="32"/>
      <c r="D277" s="76"/>
      <c r="E277" s="32"/>
      <c r="F277" s="57"/>
      <c r="G277" s="57"/>
    </row>
    <row r="278" spans="3:7" ht="12.75" customHeight="1" x14ac:dyDescent="0.2">
      <c r="C278" s="32"/>
      <c r="D278" s="76"/>
      <c r="E278" s="32"/>
      <c r="F278" s="57"/>
      <c r="G278" s="57"/>
    </row>
    <row r="279" spans="3:7" ht="12.75" customHeight="1" x14ac:dyDescent="0.2">
      <c r="C279" s="32"/>
      <c r="D279" s="76"/>
      <c r="E279" s="32"/>
      <c r="F279" s="57"/>
      <c r="G279" s="57"/>
    </row>
    <row r="280" spans="3:7" ht="12.75" customHeight="1" x14ac:dyDescent="0.2">
      <c r="C280" s="32"/>
      <c r="D280" s="76"/>
      <c r="E280" s="32"/>
      <c r="F280" s="57"/>
      <c r="G280" s="57"/>
    </row>
    <row r="281" spans="3:7" ht="12.75" customHeight="1" x14ac:dyDescent="0.2">
      <c r="C281" s="32"/>
      <c r="D281" s="76"/>
      <c r="E281" s="32"/>
      <c r="F281" s="57"/>
      <c r="G281" s="57"/>
    </row>
    <row r="282" spans="3:7" ht="12.75" customHeight="1" x14ac:dyDescent="0.2">
      <c r="C282" s="32"/>
      <c r="D282" s="76"/>
      <c r="E282" s="32"/>
      <c r="F282" s="57"/>
      <c r="G282" s="57"/>
    </row>
    <row r="283" spans="3:7" ht="12.75" customHeight="1" x14ac:dyDescent="0.2">
      <c r="C283" s="32"/>
      <c r="D283" s="76"/>
      <c r="E283" s="32"/>
      <c r="F283" s="57"/>
      <c r="G283" s="57"/>
    </row>
    <row r="284" spans="3:7" ht="12.75" customHeight="1" x14ac:dyDescent="0.2">
      <c r="C284" s="32"/>
      <c r="D284" s="76"/>
      <c r="E284" s="32"/>
      <c r="F284" s="57"/>
      <c r="G284" s="57"/>
    </row>
    <row r="285" spans="3:7" ht="12.75" customHeight="1" x14ac:dyDescent="0.2">
      <c r="C285" s="32"/>
      <c r="D285" s="76"/>
      <c r="E285" s="32"/>
      <c r="F285" s="57"/>
      <c r="G285" s="57"/>
    </row>
    <row r="286" spans="3:7" ht="12.75" customHeight="1" x14ac:dyDescent="0.2">
      <c r="C286" s="32"/>
      <c r="D286" s="76"/>
      <c r="E286" s="32"/>
      <c r="F286" s="57"/>
      <c r="G286" s="57"/>
    </row>
    <row r="287" spans="3:7" ht="12.75" customHeight="1" x14ac:dyDescent="0.2">
      <c r="C287" s="32"/>
      <c r="D287" s="76"/>
      <c r="E287" s="32"/>
      <c r="F287" s="57"/>
      <c r="G287" s="57"/>
    </row>
    <row r="288" spans="3:7" ht="12.75" customHeight="1" x14ac:dyDescent="0.2">
      <c r="C288" s="32"/>
      <c r="D288" s="76"/>
      <c r="E288" s="32"/>
      <c r="F288" s="57"/>
      <c r="G288" s="57"/>
    </row>
    <row r="289" spans="3:7" ht="12.75" customHeight="1" x14ac:dyDescent="0.2">
      <c r="C289" s="32"/>
      <c r="D289" s="76"/>
      <c r="E289" s="32"/>
      <c r="F289" s="57"/>
      <c r="G289" s="57"/>
    </row>
    <row r="290" spans="3:7" ht="12.75" customHeight="1" x14ac:dyDescent="0.2">
      <c r="C290" s="32"/>
      <c r="D290" s="76"/>
      <c r="E290" s="32"/>
      <c r="F290" s="57"/>
      <c r="G290" s="57"/>
    </row>
    <row r="291" spans="3:7" ht="12.75" customHeight="1" x14ac:dyDescent="0.2">
      <c r="C291" s="32"/>
      <c r="D291" s="76"/>
      <c r="E291" s="32"/>
      <c r="F291" s="57"/>
      <c r="G291" s="57"/>
    </row>
    <row r="292" spans="3:7" ht="12.75" customHeight="1" x14ac:dyDescent="0.2">
      <c r="C292" s="32"/>
      <c r="D292" s="76"/>
      <c r="E292" s="32"/>
      <c r="F292" s="57"/>
      <c r="G292" s="57"/>
    </row>
    <row r="293" spans="3:7" ht="12.75" customHeight="1" x14ac:dyDescent="0.2">
      <c r="C293" s="32"/>
      <c r="D293" s="76"/>
      <c r="E293" s="32"/>
      <c r="F293" s="57"/>
      <c r="G293" s="57"/>
    </row>
    <row r="294" spans="3:7" ht="12.75" customHeight="1" x14ac:dyDescent="0.2">
      <c r="C294" s="32"/>
      <c r="D294" s="76"/>
      <c r="E294" s="32"/>
      <c r="F294" s="57"/>
      <c r="G294" s="57"/>
    </row>
    <row r="295" spans="3:7" ht="12.75" customHeight="1" x14ac:dyDescent="0.2">
      <c r="C295" s="32"/>
      <c r="D295" s="76"/>
      <c r="E295" s="32"/>
      <c r="F295" s="57"/>
      <c r="G295" s="57"/>
    </row>
    <row r="296" spans="3:7" ht="12.75" customHeight="1" x14ac:dyDescent="0.2">
      <c r="C296" s="32"/>
      <c r="D296" s="76"/>
      <c r="E296" s="32"/>
      <c r="F296" s="57"/>
      <c r="G296" s="57"/>
    </row>
    <row r="297" spans="3:7" ht="12.75" customHeight="1" x14ac:dyDescent="0.2">
      <c r="C297" s="32"/>
      <c r="D297" s="76"/>
      <c r="E297" s="32"/>
      <c r="F297" s="57"/>
      <c r="G297" s="57"/>
    </row>
    <row r="298" spans="3:7" ht="12.75" customHeight="1" x14ac:dyDescent="0.2">
      <c r="C298" s="32"/>
      <c r="D298" s="76"/>
      <c r="E298" s="32"/>
      <c r="F298" s="57"/>
      <c r="G298" s="57"/>
    </row>
    <row r="299" spans="3:7" ht="12.75" customHeight="1" x14ac:dyDescent="0.2">
      <c r="C299" s="32"/>
      <c r="D299" s="76"/>
      <c r="E299" s="32"/>
      <c r="F299" s="57"/>
      <c r="G299" s="57"/>
    </row>
    <row r="300" spans="3:7" ht="12.75" customHeight="1" x14ac:dyDescent="0.2">
      <c r="C300" s="32"/>
      <c r="D300" s="76"/>
      <c r="E300" s="32"/>
      <c r="F300" s="57"/>
      <c r="G300" s="57"/>
    </row>
    <row r="301" spans="3:7" ht="12.75" customHeight="1" x14ac:dyDescent="0.2">
      <c r="C301" s="32"/>
      <c r="D301" s="76"/>
      <c r="E301" s="32"/>
      <c r="F301" s="57"/>
      <c r="G301" s="57"/>
    </row>
    <row r="302" spans="3:7" ht="12.75" customHeight="1" x14ac:dyDescent="0.2">
      <c r="C302" s="32"/>
      <c r="D302" s="76"/>
      <c r="E302" s="32"/>
      <c r="F302" s="57"/>
      <c r="G302" s="57"/>
    </row>
    <row r="303" spans="3:7" ht="12.75" customHeight="1" x14ac:dyDescent="0.2">
      <c r="C303" s="32"/>
      <c r="D303" s="76"/>
      <c r="E303" s="32"/>
      <c r="F303" s="57"/>
      <c r="G303" s="57"/>
    </row>
    <row r="304" spans="3:7" ht="12.75" customHeight="1" x14ac:dyDescent="0.2">
      <c r="C304" s="32"/>
      <c r="D304" s="76"/>
      <c r="E304" s="32"/>
      <c r="F304" s="57"/>
      <c r="G304" s="57"/>
    </row>
    <row r="305" spans="3:7" ht="12.75" customHeight="1" x14ac:dyDescent="0.2">
      <c r="C305" s="32"/>
      <c r="D305" s="76"/>
      <c r="E305" s="32"/>
      <c r="F305" s="57"/>
      <c r="G305" s="57"/>
    </row>
    <row r="306" spans="3:7" ht="12.75" customHeight="1" x14ac:dyDescent="0.2">
      <c r="C306" s="32"/>
      <c r="D306" s="76"/>
      <c r="E306" s="32"/>
      <c r="F306" s="57"/>
      <c r="G306" s="57"/>
    </row>
    <row r="307" spans="3:7" ht="12.75" customHeight="1" x14ac:dyDescent="0.2">
      <c r="C307" s="32"/>
      <c r="D307" s="76"/>
      <c r="E307" s="32"/>
      <c r="F307" s="57"/>
      <c r="G307" s="57"/>
    </row>
    <row r="308" spans="3:7" ht="12.75" customHeight="1" x14ac:dyDescent="0.2">
      <c r="C308" s="32"/>
      <c r="D308" s="76"/>
      <c r="E308" s="32"/>
      <c r="F308" s="57"/>
      <c r="G308" s="57"/>
    </row>
    <row r="309" spans="3:7" ht="12.75" customHeight="1" x14ac:dyDescent="0.2">
      <c r="C309" s="32"/>
      <c r="D309" s="76"/>
      <c r="E309" s="32"/>
      <c r="F309" s="57"/>
      <c r="G309" s="57"/>
    </row>
    <row r="310" spans="3:7" ht="12.75" customHeight="1" x14ac:dyDescent="0.2">
      <c r="C310" s="32"/>
      <c r="D310" s="76"/>
      <c r="E310" s="32"/>
      <c r="F310" s="57"/>
      <c r="G310" s="57"/>
    </row>
    <row r="311" spans="3:7" ht="12.75" customHeight="1" x14ac:dyDescent="0.2">
      <c r="C311" s="32"/>
      <c r="D311" s="76"/>
      <c r="E311" s="32"/>
      <c r="F311" s="57"/>
      <c r="G311" s="57"/>
    </row>
    <row r="312" spans="3:7" ht="12.75" customHeight="1" x14ac:dyDescent="0.2">
      <c r="C312" s="32"/>
      <c r="D312" s="76"/>
      <c r="E312" s="32"/>
      <c r="F312" s="57"/>
      <c r="G312" s="57"/>
    </row>
    <row r="313" spans="3:7" ht="12.75" customHeight="1" x14ac:dyDescent="0.2">
      <c r="C313" s="32"/>
      <c r="D313" s="76"/>
      <c r="E313" s="32"/>
      <c r="F313" s="57"/>
      <c r="G313" s="57"/>
    </row>
    <row r="314" spans="3:7" ht="12.75" customHeight="1" x14ac:dyDescent="0.2">
      <c r="C314" s="32"/>
      <c r="D314" s="76"/>
      <c r="E314" s="32"/>
      <c r="F314" s="57"/>
      <c r="G314" s="57"/>
    </row>
    <row r="315" spans="3:7" ht="12.75" customHeight="1" x14ac:dyDescent="0.2">
      <c r="C315" s="32"/>
      <c r="D315" s="76"/>
      <c r="E315" s="32"/>
      <c r="F315" s="57"/>
      <c r="G315" s="57"/>
    </row>
    <row r="316" spans="3:7" ht="12.75" customHeight="1" x14ac:dyDescent="0.2">
      <c r="C316" s="32"/>
      <c r="D316" s="76"/>
      <c r="E316" s="32"/>
      <c r="F316" s="57"/>
      <c r="G316" s="57"/>
    </row>
    <row r="317" spans="3:7" ht="12.75" customHeight="1" x14ac:dyDescent="0.2">
      <c r="C317" s="32"/>
      <c r="D317" s="76"/>
      <c r="E317" s="32"/>
      <c r="F317" s="57"/>
      <c r="G317" s="57"/>
    </row>
    <row r="318" spans="3:7" ht="12.75" customHeight="1" x14ac:dyDescent="0.2">
      <c r="C318" s="32"/>
      <c r="D318" s="76"/>
      <c r="E318" s="32"/>
      <c r="F318" s="57"/>
      <c r="G318" s="57"/>
    </row>
    <row r="319" spans="3:7" ht="12.75" customHeight="1" x14ac:dyDescent="0.2">
      <c r="C319" s="32"/>
      <c r="D319" s="76"/>
      <c r="E319" s="32"/>
      <c r="F319" s="57"/>
      <c r="G319" s="57"/>
    </row>
    <row r="320" spans="3:7" ht="12.75" customHeight="1" x14ac:dyDescent="0.2">
      <c r="C320" s="32"/>
      <c r="D320" s="76"/>
      <c r="E320" s="32"/>
      <c r="F320" s="57"/>
      <c r="G320" s="57"/>
    </row>
    <row r="321" spans="3:7" ht="12.75" customHeight="1" x14ac:dyDescent="0.2">
      <c r="C321" s="32"/>
      <c r="D321" s="76"/>
      <c r="E321" s="32"/>
      <c r="F321" s="57"/>
      <c r="G321" s="57"/>
    </row>
    <row r="322" spans="3:7" ht="12.75" customHeight="1" x14ac:dyDescent="0.2">
      <c r="C322" s="32"/>
      <c r="D322" s="76"/>
      <c r="E322" s="32"/>
      <c r="F322" s="57"/>
      <c r="G322" s="57"/>
    </row>
    <row r="323" spans="3:7" ht="12.75" customHeight="1" x14ac:dyDescent="0.2">
      <c r="C323" s="32"/>
      <c r="D323" s="76"/>
      <c r="E323" s="32"/>
      <c r="F323" s="57"/>
      <c r="G323" s="57"/>
    </row>
    <row r="324" spans="3:7" ht="12.75" customHeight="1" x14ac:dyDescent="0.2">
      <c r="C324" s="32"/>
      <c r="D324" s="76"/>
      <c r="E324" s="32"/>
      <c r="F324" s="57"/>
      <c r="G324" s="57"/>
    </row>
    <row r="325" spans="3:7" ht="12.75" customHeight="1" x14ac:dyDescent="0.2">
      <c r="C325" s="32"/>
      <c r="D325" s="76"/>
      <c r="E325" s="32"/>
      <c r="F325" s="57"/>
      <c r="G325" s="57"/>
    </row>
    <row r="326" spans="3:7" ht="12.75" customHeight="1" x14ac:dyDescent="0.2">
      <c r="C326" s="32"/>
      <c r="D326" s="76"/>
      <c r="E326" s="32"/>
      <c r="F326" s="57"/>
      <c r="G326" s="57"/>
    </row>
    <row r="327" spans="3:7" ht="12.75" customHeight="1" x14ac:dyDescent="0.2">
      <c r="C327" s="32"/>
      <c r="D327" s="76"/>
      <c r="E327" s="32"/>
      <c r="F327" s="57"/>
      <c r="G327" s="57"/>
    </row>
    <row r="328" spans="3:7" ht="12.75" customHeight="1" x14ac:dyDescent="0.2">
      <c r="C328" s="32"/>
      <c r="D328" s="76"/>
      <c r="E328" s="32"/>
      <c r="F328" s="57"/>
      <c r="G328" s="57"/>
    </row>
    <row r="329" spans="3:7" ht="12.75" customHeight="1" x14ac:dyDescent="0.2">
      <c r="C329" s="32"/>
      <c r="D329" s="76"/>
      <c r="E329" s="32"/>
      <c r="F329" s="57"/>
      <c r="G329" s="57"/>
    </row>
    <row r="330" spans="3:7" ht="12.75" customHeight="1" x14ac:dyDescent="0.2">
      <c r="C330" s="32"/>
      <c r="D330" s="76"/>
      <c r="E330" s="32"/>
      <c r="F330" s="57"/>
      <c r="G330" s="57"/>
    </row>
    <row r="331" spans="3:7" ht="12.75" customHeight="1" x14ac:dyDescent="0.2">
      <c r="C331" s="32"/>
      <c r="D331" s="76"/>
      <c r="E331" s="32"/>
      <c r="F331" s="57"/>
      <c r="G331" s="57"/>
    </row>
    <row r="332" spans="3:7" ht="12.75" customHeight="1" x14ac:dyDescent="0.2">
      <c r="C332" s="32"/>
      <c r="D332" s="76"/>
      <c r="E332" s="32"/>
      <c r="F332" s="57"/>
      <c r="G332" s="57"/>
    </row>
    <row r="333" spans="3:7" ht="12.75" customHeight="1" x14ac:dyDescent="0.2">
      <c r="C333" s="32"/>
      <c r="D333" s="76"/>
      <c r="E333" s="32"/>
      <c r="F333" s="57"/>
      <c r="G333" s="57"/>
    </row>
    <row r="334" spans="3:7" ht="12.75" customHeight="1" x14ac:dyDescent="0.2">
      <c r="C334" s="32"/>
      <c r="D334" s="76"/>
      <c r="E334" s="32"/>
      <c r="F334" s="57"/>
      <c r="G334" s="57"/>
    </row>
    <row r="335" spans="3:7" ht="12.75" customHeight="1" x14ac:dyDescent="0.2">
      <c r="C335" s="32"/>
      <c r="D335" s="76"/>
      <c r="E335" s="32"/>
      <c r="F335" s="57"/>
      <c r="G335" s="57"/>
    </row>
    <row r="336" spans="3:7" ht="12.75" customHeight="1" x14ac:dyDescent="0.2">
      <c r="C336" s="32"/>
      <c r="D336" s="76"/>
      <c r="E336" s="32"/>
      <c r="F336" s="57"/>
      <c r="G336" s="57"/>
    </row>
    <row r="337" spans="3:7" ht="12.75" customHeight="1" x14ac:dyDescent="0.2">
      <c r="C337" s="32"/>
      <c r="D337" s="76"/>
      <c r="E337" s="32"/>
      <c r="F337" s="57"/>
      <c r="G337" s="57"/>
    </row>
    <row r="338" spans="3:7" ht="12.75" customHeight="1" x14ac:dyDescent="0.2">
      <c r="C338" s="32"/>
      <c r="D338" s="76"/>
      <c r="E338" s="32"/>
      <c r="F338" s="57"/>
      <c r="G338" s="57"/>
    </row>
    <row r="339" spans="3:7" ht="12.75" customHeight="1" x14ac:dyDescent="0.2">
      <c r="C339" s="32"/>
      <c r="D339" s="76"/>
      <c r="E339" s="32"/>
      <c r="F339" s="57"/>
      <c r="G339" s="57"/>
    </row>
    <row r="340" spans="3:7" ht="12.75" customHeight="1" x14ac:dyDescent="0.2">
      <c r="C340" s="32"/>
      <c r="D340" s="76"/>
      <c r="E340" s="32"/>
      <c r="F340" s="57"/>
      <c r="G340" s="57"/>
    </row>
    <row r="341" spans="3:7" ht="12.75" customHeight="1" x14ac:dyDescent="0.2">
      <c r="C341" s="32"/>
      <c r="D341" s="76"/>
      <c r="E341" s="32"/>
      <c r="F341" s="57"/>
      <c r="G341" s="57"/>
    </row>
    <row r="342" spans="3:7" ht="12.75" customHeight="1" x14ac:dyDescent="0.2">
      <c r="C342" s="32"/>
      <c r="D342" s="76"/>
      <c r="E342" s="32"/>
      <c r="F342" s="57"/>
      <c r="G342" s="57"/>
    </row>
    <row r="343" spans="3:7" ht="12.75" customHeight="1" x14ac:dyDescent="0.2">
      <c r="C343" s="32"/>
      <c r="D343" s="76"/>
      <c r="E343" s="32"/>
      <c r="F343" s="57"/>
      <c r="G343" s="57"/>
    </row>
    <row r="344" spans="3:7" ht="12.75" customHeight="1" x14ac:dyDescent="0.2">
      <c r="C344" s="32"/>
      <c r="D344" s="76"/>
      <c r="E344" s="32"/>
      <c r="F344" s="57"/>
      <c r="G344" s="57"/>
    </row>
    <row r="345" spans="3:7" ht="12.75" customHeight="1" x14ac:dyDescent="0.2">
      <c r="C345" s="32"/>
      <c r="D345" s="76"/>
      <c r="E345" s="32"/>
      <c r="F345" s="57"/>
      <c r="G345" s="57"/>
    </row>
    <row r="346" spans="3:7" ht="12.75" customHeight="1" x14ac:dyDescent="0.2">
      <c r="C346" s="32"/>
      <c r="D346" s="76"/>
      <c r="E346" s="32"/>
      <c r="F346" s="57"/>
      <c r="G346" s="57"/>
    </row>
    <row r="347" spans="3:7" ht="12.75" customHeight="1" x14ac:dyDescent="0.2">
      <c r="C347" s="32"/>
      <c r="D347" s="76"/>
      <c r="E347" s="32"/>
      <c r="F347" s="57"/>
      <c r="G347" s="57"/>
    </row>
    <row r="348" spans="3:7" ht="12.75" customHeight="1" x14ac:dyDescent="0.2">
      <c r="C348" s="32"/>
      <c r="D348" s="76"/>
      <c r="E348" s="32"/>
      <c r="F348" s="57"/>
      <c r="G348" s="57"/>
    </row>
    <row r="349" spans="3:7" ht="12.75" customHeight="1" x14ac:dyDescent="0.2">
      <c r="C349" s="32"/>
      <c r="D349" s="76"/>
      <c r="E349" s="32"/>
      <c r="F349" s="57"/>
      <c r="G349" s="57"/>
    </row>
    <row r="350" spans="3:7" ht="12.75" customHeight="1" x14ac:dyDescent="0.2">
      <c r="C350" s="32"/>
      <c r="D350" s="76"/>
      <c r="E350" s="32"/>
      <c r="F350" s="57"/>
      <c r="G350" s="57"/>
    </row>
    <row r="351" spans="3:7" ht="12.75" customHeight="1" x14ac:dyDescent="0.2">
      <c r="C351" s="32"/>
      <c r="D351" s="76"/>
      <c r="E351" s="32"/>
      <c r="F351" s="57"/>
      <c r="G351" s="57"/>
    </row>
    <row r="352" spans="3:7" ht="12.75" customHeight="1" x14ac:dyDescent="0.2">
      <c r="C352" s="32"/>
      <c r="D352" s="76"/>
      <c r="E352" s="32"/>
      <c r="F352" s="57"/>
      <c r="G352" s="57"/>
    </row>
    <row r="353" spans="3:7" ht="12.75" customHeight="1" x14ac:dyDescent="0.2">
      <c r="C353" s="32"/>
      <c r="D353" s="76"/>
      <c r="E353" s="32"/>
      <c r="F353" s="57"/>
      <c r="G353" s="57"/>
    </row>
    <row r="354" spans="3:7" ht="12.75" customHeight="1" x14ac:dyDescent="0.2">
      <c r="C354" s="32"/>
      <c r="D354" s="76"/>
      <c r="E354" s="32"/>
      <c r="F354" s="57"/>
      <c r="G354" s="57"/>
    </row>
    <row r="355" spans="3:7" ht="12.75" customHeight="1" x14ac:dyDescent="0.2">
      <c r="C355" s="32"/>
      <c r="D355" s="76"/>
      <c r="E355" s="32"/>
      <c r="F355" s="57"/>
      <c r="G355" s="57"/>
    </row>
    <row r="356" spans="3:7" ht="12.75" customHeight="1" x14ac:dyDescent="0.2">
      <c r="C356" s="32"/>
      <c r="D356" s="76"/>
      <c r="E356" s="32"/>
      <c r="F356" s="57"/>
      <c r="G356" s="57"/>
    </row>
    <row r="357" spans="3:7" ht="12.75" customHeight="1" x14ac:dyDescent="0.2">
      <c r="C357" s="32"/>
      <c r="D357" s="76"/>
      <c r="E357" s="32"/>
      <c r="F357" s="57"/>
      <c r="G357" s="57"/>
    </row>
    <row r="358" spans="3:7" ht="12.75" customHeight="1" x14ac:dyDescent="0.2">
      <c r="C358" s="32"/>
      <c r="D358" s="76"/>
      <c r="E358" s="32"/>
      <c r="F358" s="57"/>
      <c r="G358" s="57"/>
    </row>
    <row r="359" spans="3:7" ht="12.75" customHeight="1" x14ac:dyDescent="0.2">
      <c r="C359" s="32"/>
      <c r="D359" s="76"/>
      <c r="E359" s="32"/>
      <c r="F359" s="57"/>
      <c r="G359" s="57"/>
    </row>
    <row r="360" spans="3:7" ht="12.75" customHeight="1" x14ac:dyDescent="0.2">
      <c r="C360" s="32"/>
      <c r="D360" s="76"/>
      <c r="E360" s="32"/>
      <c r="F360" s="57"/>
      <c r="G360" s="57"/>
    </row>
    <row r="361" spans="3:7" ht="12.75" customHeight="1" x14ac:dyDescent="0.2">
      <c r="C361" s="32"/>
      <c r="D361" s="76"/>
      <c r="E361" s="32"/>
      <c r="F361" s="57"/>
      <c r="G361" s="57"/>
    </row>
    <row r="362" spans="3:7" ht="12.75" customHeight="1" x14ac:dyDescent="0.2">
      <c r="C362" s="32"/>
      <c r="D362" s="76"/>
      <c r="E362" s="32"/>
      <c r="F362" s="57"/>
      <c r="G362" s="57"/>
    </row>
    <row r="363" spans="3:7" ht="12.75" customHeight="1" x14ac:dyDescent="0.2">
      <c r="C363" s="32"/>
      <c r="D363" s="76"/>
      <c r="E363" s="32"/>
      <c r="F363" s="57"/>
      <c r="G363" s="57"/>
    </row>
    <row r="364" spans="3:7" ht="12.75" customHeight="1" x14ac:dyDescent="0.2">
      <c r="C364" s="32"/>
      <c r="D364" s="76"/>
      <c r="E364" s="32"/>
      <c r="F364" s="57"/>
      <c r="G364" s="57"/>
    </row>
    <row r="365" spans="3:7" ht="12.75" customHeight="1" x14ac:dyDescent="0.2">
      <c r="C365" s="32"/>
      <c r="D365" s="76"/>
      <c r="E365" s="32"/>
      <c r="F365" s="57"/>
      <c r="G365" s="57"/>
    </row>
    <row r="366" spans="3:7" ht="12.75" customHeight="1" x14ac:dyDescent="0.2">
      <c r="C366" s="32"/>
      <c r="D366" s="76"/>
      <c r="E366" s="32"/>
      <c r="F366" s="57"/>
      <c r="G366" s="57"/>
    </row>
    <row r="367" spans="3:7" ht="12.75" customHeight="1" x14ac:dyDescent="0.2">
      <c r="C367" s="32"/>
      <c r="D367" s="76"/>
      <c r="E367" s="32"/>
      <c r="F367" s="57"/>
      <c r="G367" s="57"/>
    </row>
    <row r="368" spans="3:7" ht="12.75" customHeight="1" x14ac:dyDescent="0.2">
      <c r="C368" s="32"/>
      <c r="D368" s="76"/>
      <c r="E368" s="32"/>
      <c r="F368" s="57"/>
      <c r="G368" s="57"/>
    </row>
    <row r="369" spans="3:7" ht="12.75" customHeight="1" x14ac:dyDescent="0.2">
      <c r="C369" s="32"/>
      <c r="D369" s="76"/>
      <c r="E369" s="32"/>
      <c r="F369" s="57"/>
      <c r="G369" s="57"/>
    </row>
    <row r="370" spans="3:7" ht="12.75" customHeight="1" x14ac:dyDescent="0.2">
      <c r="C370" s="32"/>
      <c r="D370" s="76"/>
      <c r="E370" s="32"/>
      <c r="F370" s="57"/>
      <c r="G370" s="57"/>
    </row>
    <row r="371" spans="3:7" ht="12.75" customHeight="1" x14ac:dyDescent="0.2">
      <c r="C371" s="32"/>
      <c r="D371" s="76"/>
      <c r="E371" s="32"/>
      <c r="F371" s="57"/>
      <c r="G371" s="57"/>
    </row>
    <row r="372" spans="3:7" ht="12.75" customHeight="1" x14ac:dyDescent="0.2">
      <c r="C372" s="32"/>
      <c r="D372" s="76"/>
      <c r="E372" s="32"/>
      <c r="F372" s="57"/>
      <c r="G372" s="57"/>
    </row>
    <row r="373" spans="3:7" ht="12.75" customHeight="1" x14ac:dyDescent="0.2">
      <c r="C373" s="32"/>
      <c r="D373" s="76"/>
      <c r="E373" s="32"/>
      <c r="F373" s="57"/>
      <c r="G373" s="57"/>
    </row>
    <row r="374" spans="3:7" ht="12.75" customHeight="1" x14ac:dyDescent="0.2">
      <c r="C374" s="32"/>
      <c r="D374" s="76"/>
      <c r="E374" s="32"/>
      <c r="F374" s="57"/>
      <c r="G374" s="57"/>
    </row>
    <row r="375" spans="3:7" ht="12.75" customHeight="1" x14ac:dyDescent="0.2">
      <c r="C375" s="32"/>
      <c r="D375" s="76"/>
      <c r="E375" s="32"/>
      <c r="F375" s="57"/>
      <c r="G375" s="57"/>
    </row>
    <row r="376" spans="3:7" ht="12.75" customHeight="1" x14ac:dyDescent="0.2">
      <c r="C376" s="32"/>
      <c r="D376" s="76"/>
      <c r="E376" s="32"/>
      <c r="F376" s="57"/>
      <c r="G376" s="57"/>
    </row>
    <row r="377" spans="3:7" ht="12.75" customHeight="1" x14ac:dyDescent="0.2">
      <c r="C377" s="32"/>
      <c r="D377" s="76"/>
      <c r="E377" s="32"/>
      <c r="F377" s="57"/>
      <c r="G377" s="57"/>
    </row>
    <row r="378" spans="3:7" ht="12.75" customHeight="1" x14ac:dyDescent="0.2">
      <c r="C378" s="32"/>
      <c r="D378" s="76"/>
      <c r="E378" s="32"/>
      <c r="F378" s="57"/>
      <c r="G378" s="57"/>
    </row>
    <row r="379" spans="3:7" ht="12.75" customHeight="1" x14ac:dyDescent="0.2">
      <c r="C379" s="32"/>
      <c r="D379" s="76"/>
      <c r="E379" s="32"/>
      <c r="F379" s="57"/>
      <c r="G379" s="57"/>
    </row>
    <row r="380" spans="3:7" ht="12.75" customHeight="1" x14ac:dyDescent="0.2">
      <c r="C380" s="32"/>
      <c r="D380" s="76"/>
      <c r="E380" s="32"/>
      <c r="F380" s="57"/>
      <c r="G380" s="57"/>
    </row>
    <row r="381" spans="3:7" ht="12.75" customHeight="1" x14ac:dyDescent="0.2">
      <c r="C381" s="32"/>
      <c r="D381" s="76"/>
      <c r="E381" s="32"/>
      <c r="F381" s="57"/>
      <c r="G381" s="57"/>
    </row>
    <row r="382" spans="3:7" ht="12.75" customHeight="1" x14ac:dyDescent="0.2">
      <c r="C382" s="32"/>
      <c r="D382" s="76"/>
      <c r="E382" s="32"/>
      <c r="F382" s="57"/>
      <c r="G382" s="57"/>
    </row>
    <row r="383" spans="3:7" ht="12.75" customHeight="1" x14ac:dyDescent="0.2">
      <c r="C383" s="32"/>
      <c r="D383" s="76"/>
      <c r="E383" s="32"/>
      <c r="F383" s="57"/>
      <c r="G383" s="57"/>
    </row>
    <row r="384" spans="3:7" ht="12.75" customHeight="1" x14ac:dyDescent="0.2">
      <c r="C384" s="32"/>
      <c r="D384" s="76"/>
      <c r="E384" s="32"/>
      <c r="F384" s="57"/>
      <c r="G384" s="57"/>
    </row>
    <row r="385" spans="3:7" ht="12.75" customHeight="1" x14ac:dyDescent="0.2">
      <c r="C385" s="32"/>
      <c r="D385" s="76"/>
      <c r="E385" s="32"/>
      <c r="F385" s="57"/>
      <c r="G385" s="57"/>
    </row>
    <row r="386" spans="3:7" ht="12.75" customHeight="1" x14ac:dyDescent="0.2">
      <c r="C386" s="32"/>
      <c r="D386" s="76"/>
      <c r="E386" s="32"/>
      <c r="F386" s="57"/>
      <c r="G386" s="57"/>
    </row>
    <row r="387" spans="3:7" ht="12.75" customHeight="1" x14ac:dyDescent="0.2">
      <c r="C387" s="32"/>
      <c r="D387" s="76"/>
      <c r="E387" s="32"/>
      <c r="F387" s="57"/>
      <c r="G387" s="57"/>
    </row>
    <row r="388" spans="3:7" ht="12.75" customHeight="1" x14ac:dyDescent="0.2">
      <c r="C388" s="32"/>
      <c r="D388" s="76"/>
      <c r="E388" s="32"/>
      <c r="F388" s="57"/>
      <c r="G388" s="57"/>
    </row>
    <row r="389" spans="3:7" ht="12.75" customHeight="1" x14ac:dyDescent="0.2">
      <c r="C389" s="32"/>
      <c r="D389" s="76"/>
      <c r="E389" s="32"/>
      <c r="F389" s="57"/>
      <c r="G389" s="57"/>
    </row>
    <row r="390" spans="3:7" ht="12.75" customHeight="1" x14ac:dyDescent="0.2">
      <c r="C390" s="32"/>
      <c r="D390" s="76"/>
      <c r="E390" s="32"/>
      <c r="F390" s="57"/>
      <c r="G390" s="57"/>
    </row>
    <row r="391" spans="3:7" ht="12.75" customHeight="1" x14ac:dyDescent="0.2">
      <c r="C391" s="32"/>
      <c r="D391" s="76"/>
      <c r="E391" s="32"/>
      <c r="F391" s="57"/>
      <c r="G391" s="57"/>
    </row>
    <row r="392" spans="3:7" ht="12.75" customHeight="1" x14ac:dyDescent="0.2">
      <c r="C392" s="32"/>
      <c r="D392" s="76"/>
      <c r="E392" s="32"/>
      <c r="F392" s="57"/>
      <c r="G392" s="57"/>
    </row>
    <row r="393" spans="3:7" ht="12.75" customHeight="1" x14ac:dyDescent="0.2">
      <c r="C393" s="32"/>
      <c r="D393" s="76"/>
      <c r="E393" s="32"/>
      <c r="F393" s="57"/>
      <c r="G393" s="57"/>
    </row>
    <row r="394" spans="3:7" ht="12.75" customHeight="1" x14ac:dyDescent="0.2">
      <c r="C394" s="32"/>
      <c r="D394" s="76"/>
      <c r="E394" s="32"/>
      <c r="F394" s="57"/>
      <c r="G394" s="57"/>
    </row>
    <row r="395" spans="3:7" ht="12.75" customHeight="1" x14ac:dyDescent="0.2">
      <c r="C395" s="32"/>
      <c r="D395" s="76"/>
      <c r="E395" s="32"/>
      <c r="F395" s="57"/>
      <c r="G395" s="57"/>
    </row>
    <row r="396" spans="3:7" ht="12.75" customHeight="1" x14ac:dyDescent="0.2">
      <c r="C396" s="32"/>
      <c r="D396" s="76"/>
      <c r="E396" s="32"/>
      <c r="F396" s="57"/>
      <c r="G396" s="57"/>
    </row>
    <row r="397" spans="3:7" ht="12.75" customHeight="1" x14ac:dyDescent="0.2">
      <c r="C397" s="32"/>
      <c r="D397" s="76"/>
      <c r="E397" s="32"/>
      <c r="F397" s="57"/>
      <c r="G397" s="57"/>
    </row>
    <row r="398" spans="3:7" ht="12.75" customHeight="1" x14ac:dyDescent="0.2">
      <c r="C398" s="32"/>
      <c r="D398" s="76"/>
      <c r="E398" s="32"/>
      <c r="F398" s="57"/>
      <c r="G398" s="57"/>
    </row>
    <row r="399" spans="3:7" ht="12.75" customHeight="1" x14ac:dyDescent="0.2">
      <c r="C399" s="32"/>
      <c r="D399" s="76"/>
      <c r="E399" s="32"/>
      <c r="F399" s="57"/>
      <c r="G399" s="57"/>
    </row>
    <row r="400" spans="3:7" ht="12.75" customHeight="1" x14ac:dyDescent="0.2">
      <c r="C400" s="32"/>
      <c r="D400" s="76"/>
      <c r="E400" s="32"/>
      <c r="F400" s="57"/>
      <c r="G400" s="57"/>
    </row>
    <row r="401" spans="3:7" ht="12.75" customHeight="1" x14ac:dyDescent="0.2">
      <c r="C401" s="32"/>
      <c r="D401" s="76"/>
      <c r="E401" s="32"/>
      <c r="F401" s="57"/>
      <c r="G401" s="57"/>
    </row>
    <row r="402" spans="3:7" ht="12.75" customHeight="1" x14ac:dyDescent="0.2">
      <c r="C402" s="32"/>
      <c r="D402" s="76"/>
      <c r="E402" s="32"/>
      <c r="F402" s="57"/>
      <c r="G402" s="57"/>
    </row>
    <row r="403" spans="3:7" ht="12.75" customHeight="1" x14ac:dyDescent="0.2">
      <c r="C403" s="32"/>
      <c r="D403" s="76"/>
      <c r="E403" s="32"/>
      <c r="F403" s="57"/>
      <c r="G403" s="57"/>
    </row>
    <row r="404" spans="3:7" ht="12.75" customHeight="1" x14ac:dyDescent="0.2">
      <c r="C404" s="32"/>
      <c r="D404" s="76"/>
      <c r="E404" s="32"/>
      <c r="F404" s="57"/>
      <c r="G404" s="57"/>
    </row>
    <row r="405" spans="3:7" ht="12.75" customHeight="1" x14ac:dyDescent="0.2">
      <c r="C405" s="32"/>
      <c r="D405" s="76"/>
      <c r="E405" s="32"/>
      <c r="F405" s="57"/>
      <c r="G405" s="57"/>
    </row>
    <row r="406" spans="3:7" ht="12.75" customHeight="1" x14ac:dyDescent="0.2">
      <c r="C406" s="32"/>
      <c r="D406" s="76"/>
      <c r="E406" s="32"/>
      <c r="F406" s="57"/>
      <c r="G406" s="57"/>
    </row>
    <row r="407" spans="3:7" ht="12.75" customHeight="1" x14ac:dyDescent="0.2">
      <c r="C407" s="32"/>
      <c r="D407" s="76"/>
      <c r="E407" s="32"/>
      <c r="F407" s="57"/>
      <c r="G407" s="57"/>
    </row>
    <row r="408" spans="3:7" ht="12.75" customHeight="1" x14ac:dyDescent="0.2">
      <c r="C408" s="32"/>
      <c r="D408" s="76"/>
      <c r="E408" s="32"/>
      <c r="F408" s="57"/>
      <c r="G408" s="57"/>
    </row>
    <row r="409" spans="3:7" ht="12.75" customHeight="1" x14ac:dyDescent="0.2">
      <c r="C409" s="32"/>
      <c r="D409" s="76"/>
      <c r="E409" s="32"/>
      <c r="F409" s="57"/>
      <c r="G409" s="57"/>
    </row>
    <row r="410" spans="3:7" ht="12.75" customHeight="1" x14ac:dyDescent="0.2">
      <c r="C410" s="32"/>
      <c r="D410" s="76"/>
      <c r="E410" s="32"/>
      <c r="F410" s="57"/>
      <c r="G410" s="57"/>
    </row>
    <row r="411" spans="3:7" ht="12.75" customHeight="1" x14ac:dyDescent="0.2">
      <c r="C411" s="32"/>
      <c r="D411" s="76"/>
      <c r="E411" s="32"/>
      <c r="F411" s="57"/>
      <c r="G411" s="57"/>
    </row>
    <row r="412" spans="3:7" ht="12.75" customHeight="1" x14ac:dyDescent="0.2">
      <c r="C412" s="32"/>
      <c r="D412" s="76"/>
      <c r="E412" s="32"/>
      <c r="F412" s="57"/>
      <c r="G412" s="57"/>
    </row>
    <row r="413" spans="3:7" ht="12.75" customHeight="1" x14ac:dyDescent="0.2">
      <c r="C413" s="32"/>
      <c r="D413" s="76"/>
      <c r="E413" s="32"/>
      <c r="F413" s="57"/>
      <c r="G413" s="57"/>
    </row>
    <row r="414" spans="3:7" ht="12.75" customHeight="1" x14ac:dyDescent="0.2">
      <c r="C414" s="32"/>
      <c r="D414" s="76"/>
      <c r="E414" s="32"/>
      <c r="F414" s="57"/>
      <c r="G414" s="57"/>
    </row>
    <row r="415" spans="3:7" ht="12.75" customHeight="1" x14ac:dyDescent="0.2">
      <c r="C415" s="32"/>
      <c r="D415" s="76"/>
      <c r="E415" s="32"/>
      <c r="F415" s="57"/>
      <c r="G415" s="57"/>
    </row>
    <row r="416" spans="3:7" ht="12.75" customHeight="1" x14ac:dyDescent="0.2">
      <c r="C416" s="32"/>
      <c r="D416" s="76"/>
      <c r="E416" s="32"/>
      <c r="F416" s="57"/>
      <c r="G416" s="57"/>
    </row>
    <row r="417" spans="3:7" ht="12.75" customHeight="1" x14ac:dyDescent="0.2">
      <c r="C417" s="32"/>
      <c r="D417" s="76"/>
      <c r="E417" s="32"/>
      <c r="F417" s="57"/>
      <c r="G417" s="57"/>
    </row>
    <row r="418" spans="3:7" ht="12.75" customHeight="1" x14ac:dyDescent="0.2">
      <c r="C418" s="32"/>
      <c r="D418" s="76"/>
      <c r="E418" s="32"/>
      <c r="F418" s="57"/>
      <c r="G418" s="57"/>
    </row>
    <row r="419" spans="3:7" ht="12.75" customHeight="1" x14ac:dyDescent="0.2">
      <c r="C419" s="32"/>
      <c r="D419" s="76"/>
      <c r="E419" s="32"/>
      <c r="F419" s="57"/>
      <c r="G419" s="57"/>
    </row>
    <row r="420" spans="3:7" ht="12.75" customHeight="1" x14ac:dyDescent="0.2">
      <c r="C420" s="32"/>
      <c r="D420" s="76"/>
      <c r="E420" s="32"/>
      <c r="F420" s="57"/>
      <c r="G420" s="57"/>
    </row>
    <row r="421" spans="3:7" ht="12.75" customHeight="1" x14ac:dyDescent="0.2">
      <c r="C421" s="32"/>
      <c r="D421" s="76"/>
      <c r="E421" s="32"/>
      <c r="F421" s="57"/>
      <c r="G421" s="57"/>
    </row>
    <row r="422" spans="3:7" ht="12.75" customHeight="1" x14ac:dyDescent="0.2">
      <c r="C422" s="32"/>
      <c r="D422" s="76"/>
      <c r="E422" s="32"/>
      <c r="F422" s="57"/>
      <c r="G422" s="57"/>
    </row>
    <row r="423" spans="3:7" ht="12.75" customHeight="1" x14ac:dyDescent="0.2">
      <c r="C423" s="32"/>
      <c r="D423" s="76"/>
      <c r="E423" s="32"/>
      <c r="F423" s="57"/>
      <c r="G423" s="57"/>
    </row>
    <row r="424" spans="3:7" ht="12.75" customHeight="1" x14ac:dyDescent="0.2">
      <c r="C424" s="32"/>
      <c r="D424" s="76"/>
      <c r="E424" s="32"/>
      <c r="F424" s="57"/>
      <c r="G424" s="57"/>
    </row>
    <row r="425" spans="3:7" ht="12.75" customHeight="1" x14ac:dyDescent="0.2">
      <c r="C425" s="32"/>
      <c r="D425" s="76"/>
      <c r="E425" s="32"/>
      <c r="F425" s="57"/>
      <c r="G425" s="57"/>
    </row>
    <row r="426" spans="3:7" ht="12.75" customHeight="1" x14ac:dyDescent="0.2">
      <c r="C426" s="32"/>
      <c r="D426" s="76"/>
      <c r="E426" s="32"/>
      <c r="F426" s="57"/>
      <c r="G426" s="57"/>
    </row>
    <row r="427" spans="3:7" ht="12.75" customHeight="1" x14ac:dyDescent="0.2">
      <c r="C427" s="32"/>
      <c r="D427" s="76"/>
      <c r="E427" s="32"/>
      <c r="F427" s="57"/>
      <c r="G427" s="57"/>
    </row>
    <row r="428" spans="3:7" ht="12.75" customHeight="1" x14ac:dyDescent="0.2">
      <c r="C428" s="32"/>
      <c r="D428" s="76"/>
      <c r="E428" s="32"/>
      <c r="F428" s="57"/>
      <c r="G428" s="57"/>
    </row>
    <row r="429" spans="3:7" ht="12.75" customHeight="1" x14ac:dyDescent="0.2">
      <c r="C429" s="32"/>
      <c r="D429" s="76"/>
      <c r="E429" s="32"/>
      <c r="F429" s="57"/>
      <c r="G429" s="57"/>
    </row>
    <row r="430" spans="3:7" ht="12.75" customHeight="1" x14ac:dyDescent="0.2">
      <c r="C430" s="32"/>
      <c r="D430" s="76"/>
      <c r="E430" s="32"/>
      <c r="F430" s="57"/>
      <c r="G430" s="57"/>
    </row>
    <row r="431" spans="3:7" ht="12.75" customHeight="1" x14ac:dyDescent="0.2">
      <c r="C431" s="32"/>
      <c r="D431" s="76"/>
      <c r="E431" s="32"/>
      <c r="F431" s="57"/>
      <c r="G431" s="57"/>
    </row>
    <row r="432" spans="3:7" ht="12.75" customHeight="1" x14ac:dyDescent="0.2">
      <c r="C432" s="32"/>
      <c r="D432" s="76"/>
      <c r="E432" s="32"/>
      <c r="F432" s="57"/>
      <c r="G432" s="57"/>
    </row>
    <row r="433" spans="3:7" ht="12.75" customHeight="1" x14ac:dyDescent="0.2">
      <c r="C433" s="32"/>
      <c r="D433" s="76"/>
      <c r="E433" s="32"/>
      <c r="F433" s="57"/>
      <c r="G433" s="57"/>
    </row>
    <row r="434" spans="3:7" ht="12.75" customHeight="1" x14ac:dyDescent="0.2">
      <c r="C434" s="32"/>
      <c r="D434" s="76"/>
      <c r="E434" s="32"/>
      <c r="F434" s="57"/>
      <c r="G434" s="57"/>
    </row>
    <row r="435" spans="3:7" ht="12.75" customHeight="1" x14ac:dyDescent="0.2">
      <c r="C435" s="32"/>
      <c r="D435" s="76"/>
      <c r="E435" s="32"/>
      <c r="F435" s="57"/>
      <c r="G435" s="57"/>
    </row>
    <row r="436" spans="3:7" ht="12.75" customHeight="1" x14ac:dyDescent="0.2">
      <c r="C436" s="32"/>
      <c r="D436" s="76"/>
      <c r="E436" s="32"/>
      <c r="F436" s="57"/>
      <c r="G436" s="57"/>
    </row>
    <row r="437" spans="3:7" ht="12.75" customHeight="1" x14ac:dyDescent="0.2">
      <c r="C437" s="32"/>
      <c r="D437" s="76"/>
      <c r="E437" s="32"/>
      <c r="F437" s="57"/>
      <c r="G437" s="57"/>
    </row>
    <row r="438" spans="3:7" ht="12.75" customHeight="1" x14ac:dyDescent="0.2">
      <c r="C438" s="32"/>
      <c r="D438" s="76"/>
      <c r="E438" s="32"/>
      <c r="F438" s="57"/>
      <c r="G438" s="57"/>
    </row>
    <row r="439" spans="3:7" ht="12.75" customHeight="1" x14ac:dyDescent="0.2">
      <c r="C439" s="32"/>
      <c r="D439" s="76"/>
      <c r="E439" s="32"/>
      <c r="F439" s="57"/>
      <c r="G439" s="57"/>
    </row>
    <row r="440" spans="3:7" ht="12.75" customHeight="1" x14ac:dyDescent="0.2">
      <c r="C440" s="32"/>
      <c r="D440" s="76"/>
      <c r="E440" s="32"/>
      <c r="F440" s="57"/>
      <c r="G440" s="57"/>
    </row>
    <row r="441" spans="3:7" ht="12.75" customHeight="1" x14ac:dyDescent="0.2">
      <c r="C441" s="32"/>
      <c r="D441" s="76"/>
      <c r="E441" s="32"/>
      <c r="F441" s="57"/>
      <c r="G441" s="57"/>
    </row>
    <row r="442" spans="3:7" ht="12.75" customHeight="1" x14ac:dyDescent="0.2">
      <c r="C442" s="32"/>
      <c r="D442" s="76"/>
      <c r="E442" s="32"/>
      <c r="F442" s="57"/>
      <c r="G442" s="57"/>
    </row>
    <row r="443" spans="3:7" ht="12.75" customHeight="1" x14ac:dyDescent="0.2">
      <c r="C443" s="32"/>
      <c r="D443" s="76"/>
      <c r="E443" s="32"/>
      <c r="F443" s="57"/>
      <c r="G443" s="57"/>
    </row>
    <row r="444" spans="3:7" ht="12.75" customHeight="1" x14ac:dyDescent="0.2">
      <c r="C444" s="32"/>
      <c r="D444" s="76"/>
      <c r="E444" s="32"/>
      <c r="F444" s="57"/>
      <c r="G444" s="57"/>
    </row>
    <row r="445" spans="3:7" ht="12.75" customHeight="1" x14ac:dyDescent="0.2">
      <c r="C445" s="32"/>
      <c r="D445" s="76"/>
      <c r="E445" s="32"/>
      <c r="F445" s="57"/>
      <c r="G445" s="57"/>
    </row>
    <row r="446" spans="3:7" ht="12.75" customHeight="1" x14ac:dyDescent="0.2">
      <c r="C446" s="32"/>
      <c r="D446" s="76"/>
      <c r="E446" s="32"/>
      <c r="F446" s="57"/>
      <c r="G446" s="57"/>
    </row>
    <row r="447" spans="3:7" ht="12.75" customHeight="1" x14ac:dyDescent="0.2">
      <c r="C447" s="32"/>
      <c r="D447" s="76"/>
      <c r="E447" s="32"/>
      <c r="F447" s="57"/>
      <c r="G447" s="57"/>
    </row>
    <row r="448" spans="3:7" ht="12.75" customHeight="1" x14ac:dyDescent="0.2">
      <c r="C448" s="32"/>
      <c r="D448" s="76"/>
      <c r="E448" s="32"/>
      <c r="F448" s="57"/>
      <c r="G448" s="57"/>
    </row>
    <row r="449" spans="3:7" ht="12.75" customHeight="1" x14ac:dyDescent="0.2">
      <c r="C449" s="32"/>
      <c r="D449" s="76"/>
      <c r="E449" s="32"/>
      <c r="F449" s="57"/>
      <c r="G449" s="57"/>
    </row>
    <row r="450" spans="3:7" ht="12.75" customHeight="1" x14ac:dyDescent="0.2">
      <c r="C450" s="32"/>
      <c r="D450" s="76"/>
      <c r="E450" s="32"/>
      <c r="F450" s="57"/>
      <c r="G450" s="57"/>
    </row>
    <row r="451" spans="3:7" ht="12.75" customHeight="1" x14ac:dyDescent="0.2">
      <c r="C451" s="32"/>
      <c r="D451" s="76"/>
      <c r="E451" s="32"/>
      <c r="F451" s="57"/>
      <c r="G451" s="57"/>
    </row>
    <row r="452" spans="3:7" ht="12.75" customHeight="1" x14ac:dyDescent="0.2">
      <c r="C452" s="32"/>
      <c r="D452" s="76"/>
      <c r="E452" s="32"/>
      <c r="F452" s="57"/>
      <c r="G452" s="57"/>
    </row>
    <row r="453" spans="3:7" ht="12.75" customHeight="1" x14ac:dyDescent="0.2">
      <c r="C453" s="32"/>
      <c r="D453" s="76"/>
      <c r="E453" s="32"/>
      <c r="F453" s="57"/>
      <c r="G453" s="57"/>
    </row>
    <row r="454" spans="3:7" ht="12.75" customHeight="1" x14ac:dyDescent="0.2">
      <c r="C454" s="32"/>
      <c r="D454" s="76"/>
      <c r="E454" s="32"/>
      <c r="F454" s="57"/>
      <c r="G454" s="57"/>
    </row>
    <row r="455" spans="3:7" ht="12.75" customHeight="1" x14ac:dyDescent="0.2">
      <c r="C455" s="32"/>
      <c r="D455" s="76"/>
      <c r="E455" s="32"/>
      <c r="F455" s="57"/>
      <c r="G455" s="57"/>
    </row>
    <row r="456" spans="3:7" ht="12.75" customHeight="1" x14ac:dyDescent="0.2">
      <c r="C456" s="32"/>
      <c r="D456" s="76"/>
      <c r="E456" s="32"/>
      <c r="F456" s="57"/>
      <c r="G456" s="57"/>
    </row>
    <row r="457" spans="3:7" ht="12.75" customHeight="1" x14ac:dyDescent="0.2">
      <c r="C457" s="32"/>
      <c r="D457" s="76"/>
      <c r="E457" s="32"/>
      <c r="F457" s="57"/>
      <c r="G457" s="57"/>
    </row>
    <row r="458" spans="3:7" ht="12.75" customHeight="1" x14ac:dyDescent="0.2">
      <c r="C458" s="32"/>
      <c r="D458" s="76"/>
      <c r="E458" s="32"/>
      <c r="F458" s="57"/>
      <c r="G458" s="57"/>
    </row>
    <row r="459" spans="3:7" ht="12.75" customHeight="1" x14ac:dyDescent="0.2">
      <c r="C459" s="32"/>
      <c r="D459" s="76"/>
      <c r="E459" s="32"/>
      <c r="F459" s="57"/>
      <c r="G459" s="57"/>
    </row>
    <row r="460" spans="3:7" ht="12.75" customHeight="1" x14ac:dyDescent="0.2">
      <c r="C460" s="32"/>
      <c r="D460" s="76"/>
      <c r="E460" s="32"/>
      <c r="F460" s="57"/>
      <c r="G460" s="57"/>
    </row>
    <row r="461" spans="3:7" ht="12.75" customHeight="1" x14ac:dyDescent="0.2">
      <c r="C461" s="32"/>
      <c r="D461" s="76"/>
      <c r="E461" s="32"/>
      <c r="F461" s="57"/>
      <c r="G461" s="57"/>
    </row>
    <row r="462" spans="3:7" ht="12.75" customHeight="1" x14ac:dyDescent="0.2">
      <c r="C462" s="32"/>
      <c r="D462" s="76"/>
      <c r="E462" s="32"/>
      <c r="F462" s="57"/>
      <c r="G462" s="57"/>
    </row>
    <row r="463" spans="3:7" ht="12.75" customHeight="1" x14ac:dyDescent="0.2">
      <c r="C463" s="32"/>
      <c r="D463" s="76"/>
      <c r="E463" s="32"/>
      <c r="F463" s="57"/>
      <c r="G463" s="57"/>
    </row>
    <row r="464" spans="3:7" ht="12.75" customHeight="1" x14ac:dyDescent="0.2">
      <c r="C464" s="32"/>
      <c r="D464" s="76"/>
      <c r="E464" s="32"/>
      <c r="F464" s="57"/>
      <c r="G464" s="57"/>
    </row>
    <row r="465" spans="3:7" ht="12.75" customHeight="1" x14ac:dyDescent="0.2">
      <c r="C465" s="32"/>
      <c r="D465" s="76"/>
      <c r="E465" s="32"/>
      <c r="F465" s="57"/>
      <c r="G465" s="57"/>
    </row>
    <row r="466" spans="3:7" ht="12.75" customHeight="1" x14ac:dyDescent="0.2">
      <c r="C466" s="32"/>
      <c r="D466" s="76"/>
      <c r="E466" s="32"/>
      <c r="F466" s="57"/>
      <c r="G466" s="57"/>
    </row>
    <row r="467" spans="3:7" ht="12.75" customHeight="1" x14ac:dyDescent="0.2">
      <c r="C467" s="32"/>
      <c r="D467" s="76"/>
      <c r="E467" s="32"/>
      <c r="F467" s="57"/>
      <c r="G467" s="57"/>
    </row>
    <row r="468" spans="3:7" ht="12.75" customHeight="1" x14ac:dyDescent="0.2">
      <c r="C468" s="32"/>
      <c r="D468" s="76"/>
      <c r="E468" s="32"/>
      <c r="F468" s="57"/>
      <c r="G468" s="57"/>
    </row>
    <row r="469" spans="3:7" ht="12.75" customHeight="1" x14ac:dyDescent="0.2">
      <c r="C469" s="32"/>
      <c r="D469" s="76"/>
      <c r="E469" s="32"/>
      <c r="F469" s="57"/>
      <c r="G469" s="57"/>
    </row>
    <row r="470" spans="3:7" ht="12.75" customHeight="1" x14ac:dyDescent="0.2">
      <c r="C470" s="32"/>
      <c r="D470" s="76"/>
      <c r="E470" s="32"/>
      <c r="F470" s="57"/>
      <c r="G470" s="57"/>
    </row>
    <row r="471" spans="3:7" ht="12.75" customHeight="1" x14ac:dyDescent="0.2">
      <c r="C471" s="32"/>
      <c r="D471" s="76"/>
      <c r="E471" s="32"/>
      <c r="F471" s="57"/>
      <c r="G471" s="57"/>
    </row>
    <row r="472" spans="3:7" ht="12.75" customHeight="1" x14ac:dyDescent="0.2">
      <c r="C472" s="32"/>
      <c r="D472" s="76"/>
      <c r="E472" s="32"/>
      <c r="F472" s="57"/>
      <c r="G472" s="57"/>
    </row>
    <row r="473" spans="3:7" ht="12.75" customHeight="1" x14ac:dyDescent="0.2">
      <c r="C473" s="32"/>
      <c r="D473" s="76"/>
      <c r="E473" s="32"/>
      <c r="F473" s="57"/>
      <c r="G473" s="57"/>
    </row>
    <row r="474" spans="3:7" ht="12.75" customHeight="1" x14ac:dyDescent="0.2">
      <c r="C474" s="32"/>
      <c r="D474" s="76"/>
      <c r="E474" s="32"/>
      <c r="F474" s="57"/>
      <c r="G474" s="57"/>
    </row>
    <row r="475" spans="3:7" ht="12.75" customHeight="1" x14ac:dyDescent="0.2">
      <c r="C475" s="32"/>
      <c r="D475" s="76"/>
      <c r="E475" s="32"/>
      <c r="F475" s="57"/>
      <c r="G475" s="57"/>
    </row>
    <row r="476" spans="3:7" ht="12.75" customHeight="1" x14ac:dyDescent="0.2">
      <c r="C476" s="32"/>
      <c r="D476" s="76"/>
      <c r="E476" s="32"/>
      <c r="F476" s="57"/>
      <c r="G476" s="57"/>
    </row>
    <row r="477" spans="3:7" ht="12.75" customHeight="1" x14ac:dyDescent="0.2">
      <c r="C477" s="32"/>
      <c r="D477" s="76"/>
      <c r="E477" s="32"/>
      <c r="F477" s="57"/>
      <c r="G477" s="57"/>
    </row>
    <row r="478" spans="3:7" ht="12.75" customHeight="1" x14ac:dyDescent="0.2">
      <c r="C478" s="32"/>
      <c r="D478" s="76"/>
      <c r="E478" s="32"/>
      <c r="F478" s="57"/>
      <c r="G478" s="57"/>
    </row>
    <row r="479" spans="3:7" ht="12.75" customHeight="1" x14ac:dyDescent="0.2">
      <c r="C479" s="32"/>
      <c r="D479" s="76"/>
      <c r="E479" s="32"/>
      <c r="F479" s="57"/>
      <c r="G479" s="57"/>
    </row>
    <row r="480" spans="3:7" ht="12.75" customHeight="1" x14ac:dyDescent="0.2">
      <c r="C480" s="32"/>
      <c r="D480" s="76"/>
      <c r="E480" s="32"/>
      <c r="F480" s="57"/>
      <c r="G480" s="57"/>
    </row>
    <row r="481" spans="3:7" ht="12.75" customHeight="1" x14ac:dyDescent="0.2">
      <c r="C481" s="32"/>
      <c r="D481" s="76"/>
      <c r="E481" s="32"/>
      <c r="F481" s="57"/>
      <c r="G481" s="57"/>
    </row>
    <row r="482" spans="3:7" ht="12.75" customHeight="1" x14ac:dyDescent="0.2">
      <c r="C482" s="32"/>
      <c r="D482" s="76"/>
      <c r="E482" s="32"/>
      <c r="F482" s="57"/>
      <c r="G482" s="57"/>
    </row>
    <row r="483" spans="3:7" ht="12.75" customHeight="1" x14ac:dyDescent="0.2">
      <c r="C483" s="32"/>
      <c r="D483" s="76"/>
      <c r="E483" s="32"/>
      <c r="F483" s="57"/>
      <c r="G483" s="57"/>
    </row>
    <row r="484" spans="3:7" ht="12.75" customHeight="1" x14ac:dyDescent="0.2">
      <c r="C484" s="32"/>
      <c r="D484" s="76"/>
      <c r="E484" s="32"/>
      <c r="F484" s="57"/>
      <c r="G484" s="57"/>
    </row>
    <row r="485" spans="3:7" ht="12.75" customHeight="1" x14ac:dyDescent="0.2">
      <c r="C485" s="32"/>
      <c r="D485" s="76"/>
      <c r="E485" s="32"/>
      <c r="F485" s="57"/>
      <c r="G485" s="57"/>
    </row>
    <row r="486" spans="3:7" ht="12.75" customHeight="1" x14ac:dyDescent="0.2">
      <c r="C486" s="32"/>
      <c r="D486" s="76"/>
      <c r="E486" s="32"/>
      <c r="F486" s="57"/>
      <c r="G486" s="57"/>
    </row>
    <row r="487" spans="3:7" ht="12.75" customHeight="1" x14ac:dyDescent="0.2">
      <c r="C487" s="32"/>
      <c r="D487" s="76"/>
      <c r="E487" s="32"/>
      <c r="F487" s="57"/>
      <c r="G487" s="57"/>
    </row>
    <row r="488" spans="3:7" ht="12.75" customHeight="1" x14ac:dyDescent="0.2">
      <c r="C488" s="32"/>
      <c r="D488" s="76"/>
      <c r="E488" s="32"/>
      <c r="F488" s="57"/>
      <c r="G488" s="57"/>
    </row>
    <row r="489" spans="3:7" ht="12.75" customHeight="1" x14ac:dyDescent="0.2">
      <c r="C489" s="32"/>
      <c r="D489" s="76"/>
      <c r="E489" s="32"/>
      <c r="F489" s="57"/>
      <c r="G489" s="57"/>
    </row>
    <row r="490" spans="3:7" ht="12.75" customHeight="1" x14ac:dyDescent="0.2">
      <c r="C490" s="32"/>
      <c r="D490" s="76"/>
      <c r="E490" s="32"/>
      <c r="F490" s="57"/>
      <c r="G490" s="57"/>
    </row>
    <row r="491" spans="3:7" ht="12.75" customHeight="1" x14ac:dyDescent="0.2">
      <c r="C491" s="32"/>
      <c r="D491" s="76"/>
      <c r="E491" s="32"/>
      <c r="F491" s="57"/>
      <c r="G491" s="57"/>
    </row>
    <row r="492" spans="3:7" ht="12.75" customHeight="1" x14ac:dyDescent="0.2">
      <c r="C492" s="32"/>
      <c r="D492" s="76"/>
      <c r="E492" s="32"/>
      <c r="F492" s="57"/>
      <c r="G492" s="57"/>
    </row>
    <row r="493" spans="3:7" ht="12.75" customHeight="1" x14ac:dyDescent="0.2">
      <c r="C493" s="32"/>
      <c r="D493" s="76"/>
      <c r="E493" s="32"/>
      <c r="F493" s="57"/>
      <c r="G493" s="57"/>
    </row>
    <row r="494" spans="3:7" ht="12.75" customHeight="1" x14ac:dyDescent="0.2">
      <c r="C494" s="32"/>
      <c r="D494" s="76"/>
      <c r="E494" s="32"/>
      <c r="F494" s="57"/>
      <c r="G494" s="57"/>
    </row>
    <row r="495" spans="3:7" ht="12.75" customHeight="1" x14ac:dyDescent="0.2">
      <c r="C495" s="32"/>
      <c r="D495" s="76"/>
      <c r="E495" s="32"/>
      <c r="F495" s="57"/>
      <c r="G495" s="57"/>
    </row>
    <row r="496" spans="3:7" ht="12.75" customHeight="1" x14ac:dyDescent="0.2">
      <c r="C496" s="32"/>
      <c r="D496" s="76"/>
      <c r="E496" s="32"/>
      <c r="F496" s="57"/>
      <c r="G496" s="57"/>
    </row>
    <row r="497" spans="3:7" ht="12.75" customHeight="1" x14ac:dyDescent="0.2">
      <c r="C497" s="32"/>
      <c r="D497" s="76"/>
      <c r="E497" s="32"/>
      <c r="F497" s="57"/>
      <c r="G497" s="57"/>
    </row>
    <row r="498" spans="3:7" ht="12.75" customHeight="1" x14ac:dyDescent="0.2">
      <c r="C498" s="32"/>
      <c r="D498" s="76"/>
      <c r="E498" s="32"/>
      <c r="F498" s="57"/>
      <c r="G498" s="57"/>
    </row>
    <row r="499" spans="3:7" ht="12.75" customHeight="1" x14ac:dyDescent="0.2">
      <c r="C499" s="32"/>
      <c r="D499" s="76"/>
      <c r="E499" s="32"/>
      <c r="F499" s="57"/>
      <c r="G499" s="57"/>
    </row>
    <row r="500" spans="3:7" ht="12.75" customHeight="1" x14ac:dyDescent="0.2">
      <c r="C500" s="32"/>
      <c r="D500" s="76"/>
      <c r="E500" s="32"/>
      <c r="F500" s="57"/>
      <c r="G500" s="57"/>
    </row>
    <row r="501" spans="3:7" ht="12.75" customHeight="1" x14ac:dyDescent="0.2">
      <c r="C501" s="32"/>
      <c r="D501" s="76"/>
      <c r="E501" s="32"/>
      <c r="F501" s="57"/>
      <c r="G501" s="57"/>
    </row>
    <row r="502" spans="3:7" ht="12.75" customHeight="1" x14ac:dyDescent="0.2">
      <c r="C502" s="32"/>
      <c r="D502" s="76"/>
      <c r="E502" s="32"/>
      <c r="F502" s="57"/>
      <c r="G502" s="57"/>
    </row>
    <row r="503" spans="3:7" ht="12.75" customHeight="1" x14ac:dyDescent="0.2">
      <c r="C503" s="32"/>
      <c r="D503" s="76"/>
      <c r="E503" s="32"/>
      <c r="F503" s="57"/>
      <c r="G503" s="57"/>
    </row>
    <row r="504" spans="3:7" ht="12.75" customHeight="1" x14ac:dyDescent="0.2">
      <c r="C504" s="32"/>
      <c r="D504" s="76"/>
      <c r="E504" s="32"/>
      <c r="F504" s="57"/>
      <c r="G504" s="57"/>
    </row>
    <row r="505" spans="3:7" ht="12.75" customHeight="1" x14ac:dyDescent="0.2">
      <c r="C505" s="32"/>
      <c r="D505" s="76"/>
      <c r="E505" s="32"/>
      <c r="F505" s="57"/>
      <c r="G505" s="57"/>
    </row>
    <row r="506" spans="3:7" ht="12.75" customHeight="1" x14ac:dyDescent="0.2">
      <c r="C506" s="32"/>
      <c r="D506" s="76"/>
      <c r="E506" s="32"/>
      <c r="F506" s="57"/>
      <c r="G506" s="57"/>
    </row>
    <row r="507" spans="3:7" ht="12.75" customHeight="1" x14ac:dyDescent="0.2">
      <c r="C507" s="32"/>
      <c r="D507" s="76"/>
      <c r="E507" s="32"/>
      <c r="F507" s="57"/>
      <c r="G507" s="57"/>
    </row>
    <row r="508" spans="3:7" ht="12.75" customHeight="1" x14ac:dyDescent="0.2">
      <c r="C508" s="32"/>
      <c r="D508" s="76"/>
      <c r="E508" s="32"/>
      <c r="F508" s="57"/>
      <c r="G508" s="57"/>
    </row>
    <row r="509" spans="3:7" ht="12.75" customHeight="1" x14ac:dyDescent="0.2">
      <c r="C509" s="32"/>
      <c r="D509" s="76"/>
      <c r="E509" s="32"/>
      <c r="F509" s="57"/>
      <c r="G509" s="57"/>
    </row>
    <row r="510" spans="3:7" ht="12.75" customHeight="1" x14ac:dyDescent="0.2">
      <c r="C510" s="32"/>
      <c r="D510" s="76"/>
      <c r="E510" s="32"/>
      <c r="F510" s="57"/>
      <c r="G510" s="57"/>
    </row>
    <row r="511" spans="3:7" ht="12.75" customHeight="1" x14ac:dyDescent="0.2">
      <c r="C511" s="32"/>
      <c r="D511" s="76"/>
      <c r="E511" s="32"/>
      <c r="F511" s="57"/>
      <c r="G511" s="57"/>
    </row>
    <row r="512" spans="3:7" ht="12.75" customHeight="1" x14ac:dyDescent="0.2">
      <c r="C512" s="32"/>
      <c r="D512" s="76"/>
      <c r="E512" s="32"/>
      <c r="F512" s="57"/>
      <c r="G512" s="57"/>
    </row>
    <row r="513" spans="3:7" ht="12.75" customHeight="1" x14ac:dyDescent="0.2">
      <c r="C513" s="32"/>
      <c r="D513" s="76"/>
      <c r="E513" s="32"/>
      <c r="F513" s="57"/>
      <c r="G513" s="57"/>
    </row>
    <row r="514" spans="3:7" ht="12.75" customHeight="1" x14ac:dyDescent="0.2">
      <c r="C514" s="32"/>
      <c r="D514" s="76"/>
      <c r="E514" s="32"/>
      <c r="F514" s="57"/>
      <c r="G514" s="57"/>
    </row>
    <row r="515" spans="3:7" ht="12.75" customHeight="1" x14ac:dyDescent="0.2">
      <c r="C515" s="32"/>
      <c r="D515" s="76"/>
      <c r="E515" s="32"/>
      <c r="F515" s="57"/>
      <c r="G515" s="57"/>
    </row>
    <row r="516" spans="3:7" ht="12.75" customHeight="1" x14ac:dyDescent="0.2">
      <c r="C516" s="32"/>
      <c r="D516" s="76"/>
      <c r="E516" s="32"/>
      <c r="F516" s="57"/>
      <c r="G516" s="57"/>
    </row>
    <row r="517" spans="3:7" ht="12.75" customHeight="1" x14ac:dyDescent="0.2">
      <c r="C517" s="32"/>
      <c r="D517" s="76"/>
      <c r="E517" s="32"/>
      <c r="F517" s="57"/>
      <c r="G517" s="57"/>
    </row>
    <row r="518" spans="3:7" ht="12.75" customHeight="1" x14ac:dyDescent="0.2">
      <c r="C518" s="32"/>
      <c r="D518" s="76"/>
      <c r="E518" s="32"/>
      <c r="F518" s="57"/>
      <c r="G518" s="57"/>
    </row>
    <row r="519" spans="3:7" ht="12.75" customHeight="1" x14ac:dyDescent="0.2">
      <c r="C519" s="32"/>
      <c r="D519" s="76"/>
      <c r="E519" s="32"/>
      <c r="F519" s="57"/>
      <c r="G519" s="57"/>
    </row>
    <row r="520" spans="3:7" ht="12.75" customHeight="1" x14ac:dyDescent="0.2">
      <c r="C520" s="32"/>
      <c r="D520" s="76"/>
      <c r="E520" s="32"/>
      <c r="F520" s="57"/>
      <c r="G520" s="57"/>
    </row>
    <row r="521" spans="3:7" ht="12.75" customHeight="1" x14ac:dyDescent="0.2">
      <c r="C521" s="32"/>
      <c r="D521" s="76"/>
      <c r="E521" s="32"/>
      <c r="F521" s="57"/>
      <c r="G521" s="57"/>
    </row>
    <row r="522" spans="3:7" ht="12.75" customHeight="1" x14ac:dyDescent="0.2">
      <c r="C522" s="32"/>
      <c r="D522" s="76"/>
      <c r="E522" s="32"/>
      <c r="F522" s="57"/>
      <c r="G522" s="57"/>
    </row>
    <row r="523" spans="3:7" ht="12.75" customHeight="1" x14ac:dyDescent="0.2">
      <c r="C523" s="32"/>
      <c r="D523" s="76"/>
      <c r="E523" s="32"/>
      <c r="F523" s="57"/>
      <c r="G523" s="57"/>
    </row>
    <row r="524" spans="3:7" ht="12.75" customHeight="1" x14ac:dyDescent="0.2">
      <c r="C524" s="32"/>
      <c r="D524" s="76"/>
      <c r="E524" s="32"/>
      <c r="F524" s="57"/>
      <c r="G524" s="57"/>
    </row>
    <row r="525" spans="3:7" ht="12.75" customHeight="1" x14ac:dyDescent="0.2">
      <c r="C525" s="32"/>
      <c r="D525" s="76"/>
      <c r="E525" s="32"/>
      <c r="F525" s="57"/>
      <c r="G525" s="57"/>
    </row>
    <row r="526" spans="3:7" ht="12.75" customHeight="1" x14ac:dyDescent="0.2">
      <c r="C526" s="32"/>
      <c r="D526" s="76"/>
      <c r="E526" s="32"/>
      <c r="F526" s="57"/>
      <c r="G526" s="57"/>
    </row>
    <row r="527" spans="3:7" ht="12.75" customHeight="1" x14ac:dyDescent="0.2">
      <c r="C527" s="32"/>
      <c r="D527" s="76"/>
      <c r="E527" s="32"/>
      <c r="F527" s="57"/>
      <c r="G527" s="57"/>
    </row>
    <row r="528" spans="3:7" ht="12.75" customHeight="1" x14ac:dyDescent="0.2">
      <c r="C528" s="32"/>
      <c r="D528" s="76"/>
      <c r="E528" s="32"/>
      <c r="F528" s="57"/>
      <c r="G528" s="57"/>
    </row>
    <row r="529" spans="3:7" ht="12.75" customHeight="1" x14ac:dyDescent="0.2">
      <c r="C529" s="32"/>
      <c r="D529" s="76"/>
      <c r="E529" s="32"/>
      <c r="F529" s="57"/>
      <c r="G529" s="57"/>
    </row>
    <row r="530" spans="3:7" ht="12.75" customHeight="1" x14ac:dyDescent="0.2">
      <c r="C530" s="32"/>
      <c r="D530" s="76"/>
      <c r="E530" s="32"/>
      <c r="F530" s="57"/>
      <c r="G530" s="57"/>
    </row>
    <row r="531" spans="3:7" ht="12.75" customHeight="1" x14ac:dyDescent="0.2">
      <c r="C531" s="32"/>
      <c r="D531" s="76"/>
      <c r="E531" s="32"/>
      <c r="F531" s="57"/>
      <c r="G531" s="57"/>
    </row>
    <row r="532" spans="3:7" ht="12.75" customHeight="1" x14ac:dyDescent="0.2">
      <c r="C532" s="32"/>
      <c r="D532" s="76"/>
      <c r="E532" s="32"/>
      <c r="F532" s="57"/>
      <c r="G532" s="57"/>
    </row>
    <row r="533" spans="3:7" ht="12.75" customHeight="1" x14ac:dyDescent="0.2">
      <c r="C533" s="32"/>
      <c r="D533" s="76"/>
      <c r="E533" s="32"/>
      <c r="F533" s="57"/>
      <c r="G533" s="57"/>
    </row>
    <row r="534" spans="3:7" ht="12.75" customHeight="1" x14ac:dyDescent="0.2">
      <c r="C534" s="32"/>
      <c r="D534" s="76"/>
      <c r="E534" s="32"/>
      <c r="F534" s="57"/>
      <c r="G534" s="57"/>
    </row>
    <row r="535" spans="3:7" ht="12.75" customHeight="1" x14ac:dyDescent="0.2">
      <c r="C535" s="32"/>
      <c r="D535" s="76"/>
      <c r="E535" s="32"/>
      <c r="F535" s="57"/>
      <c r="G535" s="57"/>
    </row>
    <row r="536" spans="3:7" ht="12.75" customHeight="1" x14ac:dyDescent="0.2">
      <c r="C536" s="32"/>
      <c r="D536" s="76"/>
      <c r="E536" s="32"/>
      <c r="F536" s="57"/>
      <c r="G536" s="57"/>
    </row>
    <row r="537" spans="3:7" ht="12.75" customHeight="1" x14ac:dyDescent="0.2">
      <c r="C537" s="32"/>
      <c r="D537" s="76"/>
      <c r="E537" s="32"/>
      <c r="F537" s="57"/>
      <c r="G537" s="57"/>
    </row>
    <row r="538" spans="3:7" ht="12.75" customHeight="1" x14ac:dyDescent="0.2">
      <c r="C538" s="32"/>
      <c r="D538" s="76"/>
      <c r="E538" s="32"/>
      <c r="F538" s="57"/>
      <c r="G538" s="57"/>
    </row>
    <row r="539" spans="3:7" ht="12.75" customHeight="1" x14ac:dyDescent="0.2">
      <c r="C539" s="32"/>
      <c r="D539" s="76"/>
      <c r="E539" s="32"/>
      <c r="F539" s="57"/>
      <c r="G539" s="57"/>
    </row>
    <row r="540" spans="3:7" ht="12.75" customHeight="1" x14ac:dyDescent="0.2">
      <c r="C540" s="32"/>
      <c r="D540" s="76"/>
      <c r="E540" s="32"/>
      <c r="F540" s="57"/>
      <c r="G540" s="57"/>
    </row>
    <row r="541" spans="3:7" ht="12.75" customHeight="1" x14ac:dyDescent="0.2">
      <c r="C541" s="32"/>
      <c r="D541" s="76"/>
      <c r="E541" s="32"/>
      <c r="F541" s="57"/>
      <c r="G541" s="57"/>
    </row>
    <row r="542" spans="3:7" ht="12.75" customHeight="1" x14ac:dyDescent="0.2">
      <c r="C542" s="32"/>
      <c r="D542" s="76"/>
      <c r="E542" s="32"/>
      <c r="F542" s="57"/>
      <c r="G542" s="57"/>
    </row>
    <row r="543" spans="3:7" ht="12.75" customHeight="1" x14ac:dyDescent="0.2">
      <c r="C543" s="32"/>
      <c r="D543" s="76"/>
      <c r="E543" s="32"/>
      <c r="F543" s="57"/>
      <c r="G543" s="57"/>
    </row>
    <row r="544" spans="3:7" ht="12.75" customHeight="1" x14ac:dyDescent="0.2">
      <c r="C544" s="32"/>
      <c r="D544" s="76"/>
      <c r="E544" s="32"/>
      <c r="F544" s="57"/>
      <c r="G544" s="57"/>
    </row>
    <row r="545" spans="3:7" ht="12.75" customHeight="1" x14ac:dyDescent="0.2">
      <c r="C545" s="32"/>
      <c r="D545" s="76"/>
      <c r="E545" s="32"/>
      <c r="F545" s="57"/>
      <c r="G545" s="57"/>
    </row>
    <row r="546" spans="3:7" ht="12.75" customHeight="1" x14ac:dyDescent="0.2">
      <c r="C546" s="32"/>
      <c r="D546" s="76"/>
      <c r="E546" s="32"/>
      <c r="F546" s="57"/>
      <c r="G546" s="57"/>
    </row>
    <row r="547" spans="3:7" ht="12.75" customHeight="1" x14ac:dyDescent="0.2">
      <c r="C547" s="32"/>
      <c r="D547" s="76"/>
      <c r="E547" s="32"/>
      <c r="F547" s="57"/>
      <c r="G547" s="57"/>
    </row>
    <row r="548" spans="3:7" ht="12.75" customHeight="1" x14ac:dyDescent="0.2">
      <c r="C548" s="32"/>
      <c r="D548" s="76"/>
      <c r="E548" s="32"/>
      <c r="F548" s="57"/>
      <c r="G548" s="57"/>
    </row>
    <row r="549" spans="3:7" ht="12.75" customHeight="1" x14ac:dyDescent="0.2">
      <c r="C549" s="32"/>
      <c r="D549" s="76"/>
      <c r="E549" s="32"/>
      <c r="F549" s="57"/>
      <c r="G549" s="57"/>
    </row>
    <row r="550" spans="3:7" ht="12.75" customHeight="1" x14ac:dyDescent="0.2">
      <c r="C550" s="32"/>
      <c r="D550" s="76"/>
      <c r="E550" s="32"/>
      <c r="F550" s="57"/>
      <c r="G550" s="57"/>
    </row>
    <row r="551" spans="3:7" ht="12.75" customHeight="1" x14ac:dyDescent="0.2">
      <c r="C551" s="32"/>
      <c r="D551" s="76"/>
      <c r="E551" s="32"/>
      <c r="F551" s="57"/>
      <c r="G551" s="57"/>
    </row>
    <row r="552" spans="3:7" ht="12.75" customHeight="1" x14ac:dyDescent="0.2">
      <c r="C552" s="32"/>
      <c r="D552" s="76"/>
      <c r="E552" s="32"/>
      <c r="F552" s="57"/>
      <c r="G552" s="57"/>
    </row>
    <row r="553" spans="3:7" ht="12.75" customHeight="1" x14ac:dyDescent="0.2">
      <c r="C553" s="32"/>
      <c r="D553" s="76"/>
      <c r="E553" s="32"/>
      <c r="F553" s="57"/>
      <c r="G553" s="57"/>
    </row>
    <row r="554" spans="3:7" ht="12.75" customHeight="1" x14ac:dyDescent="0.2">
      <c r="C554" s="32"/>
      <c r="D554" s="76"/>
      <c r="E554" s="32"/>
      <c r="F554" s="57"/>
      <c r="G554" s="57"/>
    </row>
    <row r="555" spans="3:7" ht="12.75" customHeight="1" x14ac:dyDescent="0.2">
      <c r="C555" s="32"/>
      <c r="D555" s="76"/>
      <c r="E555" s="32"/>
      <c r="F555" s="57"/>
      <c r="G555" s="57"/>
    </row>
    <row r="556" spans="3:7" ht="12.75" customHeight="1" x14ac:dyDescent="0.2">
      <c r="C556" s="32"/>
      <c r="D556" s="76"/>
      <c r="E556" s="32"/>
      <c r="F556" s="57"/>
      <c r="G556" s="57"/>
    </row>
    <row r="557" spans="3:7" ht="12.75" customHeight="1" x14ac:dyDescent="0.2">
      <c r="C557" s="32"/>
      <c r="D557" s="76"/>
      <c r="E557" s="32"/>
      <c r="F557" s="57"/>
      <c r="G557" s="57"/>
    </row>
    <row r="558" spans="3:7" ht="12.75" customHeight="1" x14ac:dyDescent="0.2">
      <c r="C558" s="32"/>
      <c r="D558" s="76"/>
      <c r="E558" s="32"/>
      <c r="F558" s="57"/>
      <c r="G558" s="57"/>
    </row>
    <row r="559" spans="3:7" ht="12.75" customHeight="1" x14ac:dyDescent="0.2">
      <c r="C559" s="32"/>
      <c r="D559" s="76"/>
      <c r="E559" s="32"/>
      <c r="F559" s="57"/>
      <c r="G559" s="57"/>
    </row>
    <row r="560" spans="3:7" ht="12.75" customHeight="1" x14ac:dyDescent="0.2">
      <c r="C560" s="32"/>
      <c r="D560" s="76"/>
      <c r="E560" s="32"/>
      <c r="F560" s="57"/>
      <c r="G560" s="57"/>
    </row>
    <row r="561" spans="3:7" ht="12.75" customHeight="1" x14ac:dyDescent="0.2">
      <c r="C561" s="32"/>
      <c r="D561" s="76"/>
      <c r="E561" s="32"/>
      <c r="F561" s="57"/>
      <c r="G561" s="57"/>
    </row>
    <row r="562" spans="3:7" ht="12.75" customHeight="1" x14ac:dyDescent="0.2">
      <c r="C562" s="32"/>
      <c r="D562" s="76"/>
      <c r="E562" s="32"/>
      <c r="F562" s="57"/>
      <c r="G562" s="57"/>
    </row>
    <row r="563" spans="3:7" ht="12.75" customHeight="1" x14ac:dyDescent="0.2">
      <c r="C563" s="32"/>
      <c r="D563" s="76"/>
      <c r="E563" s="32"/>
      <c r="F563" s="57"/>
      <c r="G563" s="57"/>
    </row>
    <row r="564" spans="3:7" ht="12.75" customHeight="1" x14ac:dyDescent="0.2">
      <c r="C564" s="32"/>
      <c r="D564" s="76"/>
      <c r="E564" s="32"/>
      <c r="F564" s="57"/>
      <c r="G564" s="57"/>
    </row>
    <row r="565" spans="3:7" ht="12.75" customHeight="1" x14ac:dyDescent="0.2">
      <c r="C565" s="32"/>
      <c r="D565" s="76"/>
      <c r="E565" s="32"/>
      <c r="F565" s="57"/>
      <c r="G565" s="57"/>
    </row>
    <row r="566" spans="3:7" ht="12.75" customHeight="1" x14ac:dyDescent="0.2">
      <c r="C566" s="32"/>
      <c r="D566" s="76"/>
      <c r="E566" s="32"/>
      <c r="F566" s="57"/>
      <c r="G566" s="57"/>
    </row>
    <row r="567" spans="3:7" ht="12.75" customHeight="1" x14ac:dyDescent="0.2">
      <c r="C567" s="32"/>
      <c r="D567" s="76"/>
      <c r="E567" s="32"/>
      <c r="F567" s="57"/>
      <c r="G567" s="57"/>
    </row>
    <row r="568" spans="3:7" ht="12.75" customHeight="1" x14ac:dyDescent="0.2">
      <c r="C568" s="32"/>
      <c r="D568" s="76"/>
      <c r="E568" s="32"/>
      <c r="F568" s="57"/>
      <c r="G568" s="57"/>
    </row>
    <row r="569" spans="3:7" ht="12.75" customHeight="1" x14ac:dyDescent="0.2">
      <c r="C569" s="32"/>
      <c r="D569" s="76"/>
      <c r="E569" s="32"/>
      <c r="F569" s="57"/>
      <c r="G569" s="57"/>
    </row>
    <row r="570" spans="3:7" ht="12.75" customHeight="1" x14ac:dyDescent="0.2">
      <c r="C570" s="32"/>
      <c r="D570" s="76"/>
      <c r="E570" s="32"/>
      <c r="F570" s="57"/>
      <c r="G570" s="57"/>
    </row>
    <row r="571" spans="3:7" ht="12.75" customHeight="1" x14ac:dyDescent="0.2">
      <c r="C571" s="32"/>
      <c r="D571" s="76"/>
      <c r="E571" s="32"/>
      <c r="F571" s="57"/>
      <c r="G571" s="57"/>
    </row>
    <row r="572" spans="3:7" ht="12.75" customHeight="1" x14ac:dyDescent="0.2">
      <c r="C572" s="32"/>
      <c r="D572" s="76"/>
      <c r="E572" s="32"/>
      <c r="F572" s="57"/>
      <c r="G572" s="57"/>
    </row>
    <row r="573" spans="3:7" ht="12.75" customHeight="1" x14ac:dyDescent="0.2">
      <c r="C573" s="32"/>
      <c r="D573" s="76"/>
      <c r="E573" s="32"/>
      <c r="F573" s="57"/>
      <c r="G573" s="57"/>
    </row>
    <row r="574" spans="3:7" ht="12.75" customHeight="1" x14ac:dyDescent="0.2">
      <c r="C574" s="32"/>
      <c r="D574" s="76"/>
      <c r="E574" s="32"/>
      <c r="F574" s="57"/>
      <c r="G574" s="57"/>
    </row>
    <row r="575" spans="3:7" ht="12.75" customHeight="1" x14ac:dyDescent="0.2">
      <c r="C575" s="32"/>
      <c r="D575" s="76"/>
      <c r="E575" s="32"/>
      <c r="F575" s="57"/>
      <c r="G575" s="57"/>
    </row>
    <row r="576" spans="3:7" ht="12.75" customHeight="1" x14ac:dyDescent="0.2">
      <c r="C576" s="32"/>
      <c r="D576" s="76"/>
      <c r="E576" s="32"/>
      <c r="F576" s="57"/>
      <c r="G576" s="57"/>
    </row>
    <row r="577" spans="3:7" ht="12.75" customHeight="1" x14ac:dyDescent="0.2">
      <c r="C577" s="32"/>
      <c r="D577" s="76"/>
      <c r="E577" s="32"/>
      <c r="F577" s="57"/>
      <c r="G577" s="57"/>
    </row>
    <row r="578" spans="3:7" ht="12.75" customHeight="1" x14ac:dyDescent="0.2">
      <c r="C578" s="32"/>
      <c r="D578" s="76"/>
      <c r="E578" s="32"/>
      <c r="F578" s="57"/>
      <c r="G578" s="57"/>
    </row>
    <row r="579" spans="3:7" ht="12.75" customHeight="1" x14ac:dyDescent="0.2">
      <c r="C579" s="32"/>
      <c r="D579" s="76"/>
      <c r="E579" s="32"/>
      <c r="F579" s="57"/>
      <c r="G579" s="57"/>
    </row>
    <row r="580" spans="3:7" ht="12.75" customHeight="1" x14ac:dyDescent="0.2">
      <c r="C580" s="32"/>
      <c r="D580" s="76"/>
      <c r="E580" s="32"/>
      <c r="F580" s="57"/>
      <c r="G580" s="57"/>
    </row>
    <row r="581" spans="3:7" ht="12.75" customHeight="1" x14ac:dyDescent="0.2">
      <c r="C581" s="32"/>
      <c r="D581" s="76"/>
      <c r="E581" s="32"/>
      <c r="F581" s="57"/>
      <c r="G581" s="57"/>
    </row>
    <row r="582" spans="3:7" ht="12.75" customHeight="1" x14ac:dyDescent="0.2">
      <c r="C582" s="32"/>
      <c r="D582" s="76"/>
      <c r="E582" s="32"/>
      <c r="F582" s="57"/>
      <c r="G582" s="57"/>
    </row>
    <row r="583" spans="3:7" ht="12.75" customHeight="1" x14ac:dyDescent="0.2">
      <c r="C583" s="32"/>
      <c r="D583" s="76"/>
      <c r="E583" s="32"/>
      <c r="F583" s="57"/>
      <c r="G583" s="57"/>
    </row>
    <row r="584" spans="3:7" ht="12.75" customHeight="1" x14ac:dyDescent="0.2">
      <c r="C584" s="32"/>
      <c r="D584" s="76"/>
      <c r="E584" s="32"/>
      <c r="F584" s="57"/>
      <c r="G584" s="57"/>
    </row>
    <row r="585" spans="3:7" ht="12.75" customHeight="1" x14ac:dyDescent="0.2">
      <c r="C585" s="32"/>
      <c r="D585" s="76"/>
      <c r="E585" s="32"/>
      <c r="F585" s="57"/>
      <c r="G585" s="57"/>
    </row>
    <row r="586" spans="3:7" ht="12.75" customHeight="1" x14ac:dyDescent="0.2">
      <c r="C586" s="32"/>
      <c r="D586" s="76"/>
      <c r="E586" s="32"/>
      <c r="F586" s="57"/>
      <c r="G586" s="57"/>
    </row>
    <row r="587" spans="3:7" ht="12.75" customHeight="1" x14ac:dyDescent="0.2">
      <c r="C587" s="32"/>
      <c r="D587" s="76"/>
      <c r="E587" s="32"/>
      <c r="F587" s="57"/>
      <c r="G587" s="57"/>
    </row>
    <row r="588" spans="3:7" ht="12.75" customHeight="1" x14ac:dyDescent="0.2">
      <c r="C588" s="32"/>
      <c r="D588" s="76"/>
      <c r="E588" s="32"/>
      <c r="F588" s="57"/>
      <c r="G588" s="57"/>
    </row>
    <row r="589" spans="3:7" ht="12.75" customHeight="1" x14ac:dyDescent="0.2">
      <c r="C589" s="32"/>
      <c r="D589" s="76"/>
      <c r="E589" s="32"/>
      <c r="F589" s="57"/>
      <c r="G589" s="57"/>
    </row>
    <row r="590" spans="3:7" ht="12.75" customHeight="1" x14ac:dyDescent="0.2">
      <c r="C590" s="32"/>
      <c r="D590" s="76"/>
      <c r="E590" s="32"/>
      <c r="F590" s="57"/>
      <c r="G590" s="57"/>
    </row>
    <row r="591" spans="3:7" ht="12.75" customHeight="1" x14ac:dyDescent="0.2">
      <c r="C591" s="32"/>
      <c r="D591" s="76"/>
      <c r="E591" s="32"/>
      <c r="F591" s="57"/>
      <c r="G591" s="57"/>
    </row>
    <row r="592" spans="3:7" ht="12.75" customHeight="1" x14ac:dyDescent="0.2">
      <c r="C592" s="32"/>
      <c r="D592" s="76"/>
      <c r="E592" s="32"/>
      <c r="F592" s="57"/>
      <c r="G592" s="57"/>
    </row>
    <row r="593" spans="3:7" ht="12.75" customHeight="1" x14ac:dyDescent="0.2">
      <c r="C593" s="32"/>
      <c r="D593" s="76"/>
      <c r="E593" s="32"/>
      <c r="F593" s="57"/>
      <c r="G593" s="57"/>
    </row>
    <row r="594" spans="3:7" ht="12.75" customHeight="1" x14ac:dyDescent="0.2">
      <c r="C594" s="32"/>
      <c r="D594" s="76"/>
      <c r="E594" s="32"/>
      <c r="F594" s="57"/>
      <c r="G594" s="57"/>
    </row>
    <row r="595" spans="3:7" ht="12.75" customHeight="1" x14ac:dyDescent="0.2">
      <c r="C595" s="32"/>
      <c r="D595" s="76"/>
      <c r="E595" s="32"/>
      <c r="F595" s="57"/>
      <c r="G595" s="57"/>
    </row>
    <row r="596" spans="3:7" ht="12.75" customHeight="1" x14ac:dyDescent="0.2">
      <c r="C596" s="32"/>
      <c r="D596" s="76"/>
      <c r="E596" s="32"/>
      <c r="F596" s="57"/>
      <c r="G596" s="57"/>
    </row>
    <row r="597" spans="3:7" ht="12.75" customHeight="1" x14ac:dyDescent="0.2">
      <c r="C597" s="32"/>
      <c r="D597" s="76"/>
      <c r="E597" s="32"/>
      <c r="F597" s="57"/>
      <c r="G597" s="57"/>
    </row>
    <row r="598" spans="3:7" ht="12.75" customHeight="1" x14ac:dyDescent="0.2">
      <c r="C598" s="32"/>
      <c r="D598" s="76"/>
      <c r="E598" s="32"/>
      <c r="F598" s="57"/>
      <c r="G598" s="57"/>
    </row>
    <row r="599" spans="3:7" ht="12.75" customHeight="1" x14ac:dyDescent="0.2">
      <c r="C599" s="32"/>
      <c r="D599" s="76"/>
      <c r="E599" s="32"/>
      <c r="F599" s="57"/>
      <c r="G599" s="57"/>
    </row>
    <row r="600" spans="3:7" ht="12.75" customHeight="1" x14ac:dyDescent="0.2">
      <c r="C600" s="32"/>
      <c r="D600" s="76"/>
      <c r="E600" s="32"/>
      <c r="F600" s="57"/>
      <c r="G600" s="57"/>
    </row>
    <row r="601" spans="3:7" ht="12.75" customHeight="1" x14ac:dyDescent="0.2">
      <c r="C601" s="32"/>
      <c r="D601" s="76"/>
      <c r="E601" s="32"/>
      <c r="F601" s="57"/>
      <c r="G601" s="57"/>
    </row>
    <row r="602" spans="3:7" ht="12.75" customHeight="1" x14ac:dyDescent="0.2">
      <c r="C602" s="32"/>
      <c r="D602" s="76"/>
      <c r="E602" s="32"/>
      <c r="F602" s="57"/>
      <c r="G602" s="57"/>
    </row>
    <row r="603" spans="3:7" ht="12.75" customHeight="1" x14ac:dyDescent="0.2">
      <c r="C603" s="32"/>
      <c r="D603" s="76"/>
      <c r="E603" s="32"/>
      <c r="F603" s="57"/>
      <c r="G603" s="57"/>
    </row>
    <row r="604" spans="3:7" ht="12.75" customHeight="1" x14ac:dyDescent="0.2">
      <c r="C604" s="32"/>
      <c r="D604" s="76"/>
      <c r="E604" s="32"/>
      <c r="F604" s="57"/>
      <c r="G604" s="57"/>
    </row>
    <row r="605" spans="3:7" ht="12.75" customHeight="1" x14ac:dyDescent="0.2">
      <c r="C605" s="32"/>
      <c r="D605" s="76"/>
      <c r="E605" s="32"/>
      <c r="F605" s="57"/>
      <c r="G605" s="57"/>
    </row>
    <row r="606" spans="3:7" ht="12.75" customHeight="1" x14ac:dyDescent="0.2">
      <c r="C606" s="32"/>
      <c r="D606" s="76"/>
      <c r="E606" s="32"/>
      <c r="F606" s="57"/>
      <c r="G606" s="57"/>
    </row>
    <row r="607" spans="3:7" ht="12.75" customHeight="1" x14ac:dyDescent="0.2">
      <c r="C607" s="32"/>
      <c r="D607" s="76"/>
      <c r="E607" s="32"/>
      <c r="F607" s="57"/>
      <c r="G607" s="57"/>
    </row>
    <row r="608" spans="3:7" ht="12.75" customHeight="1" x14ac:dyDescent="0.2">
      <c r="C608" s="32"/>
      <c r="D608" s="76"/>
      <c r="E608" s="32"/>
      <c r="F608" s="57"/>
      <c r="G608" s="57"/>
    </row>
    <row r="609" spans="3:7" ht="12.75" customHeight="1" x14ac:dyDescent="0.2">
      <c r="C609" s="32"/>
      <c r="D609" s="76"/>
      <c r="E609" s="32"/>
      <c r="F609" s="57"/>
      <c r="G609" s="57"/>
    </row>
    <row r="610" spans="3:7" ht="12.75" customHeight="1" x14ac:dyDescent="0.2">
      <c r="C610" s="32"/>
      <c r="D610" s="76"/>
      <c r="E610" s="32"/>
      <c r="F610" s="57"/>
      <c r="G610" s="57"/>
    </row>
    <row r="611" spans="3:7" ht="12.75" customHeight="1" x14ac:dyDescent="0.2">
      <c r="C611" s="32"/>
      <c r="D611" s="76"/>
      <c r="E611" s="32"/>
      <c r="F611" s="57"/>
      <c r="G611" s="57"/>
    </row>
    <row r="612" spans="3:7" ht="12.75" customHeight="1" x14ac:dyDescent="0.2">
      <c r="C612" s="32"/>
      <c r="D612" s="76"/>
      <c r="E612" s="32"/>
      <c r="F612" s="57"/>
      <c r="G612" s="57"/>
    </row>
    <row r="613" spans="3:7" ht="12.75" customHeight="1" x14ac:dyDescent="0.2">
      <c r="C613" s="32"/>
      <c r="D613" s="76"/>
      <c r="E613" s="32"/>
      <c r="F613" s="57"/>
      <c r="G613" s="57"/>
    </row>
    <row r="614" spans="3:7" ht="12.75" customHeight="1" x14ac:dyDescent="0.2">
      <c r="C614" s="32"/>
      <c r="D614" s="76"/>
      <c r="E614" s="32"/>
      <c r="F614" s="57"/>
      <c r="G614" s="57"/>
    </row>
    <row r="615" spans="3:7" ht="12.75" customHeight="1" x14ac:dyDescent="0.2">
      <c r="C615" s="32"/>
      <c r="D615" s="76"/>
      <c r="E615" s="32"/>
      <c r="F615" s="57"/>
      <c r="G615" s="57"/>
    </row>
    <row r="616" spans="3:7" ht="12.75" customHeight="1" x14ac:dyDescent="0.2">
      <c r="C616" s="32"/>
      <c r="D616" s="76"/>
      <c r="E616" s="32"/>
      <c r="F616" s="57"/>
      <c r="G616" s="57"/>
    </row>
    <row r="617" spans="3:7" ht="12.75" customHeight="1" x14ac:dyDescent="0.2">
      <c r="C617" s="32"/>
      <c r="D617" s="76"/>
      <c r="E617" s="32"/>
      <c r="F617" s="57"/>
      <c r="G617" s="57"/>
    </row>
    <row r="618" spans="3:7" ht="12.75" customHeight="1" x14ac:dyDescent="0.2">
      <c r="C618" s="32"/>
      <c r="D618" s="76"/>
      <c r="E618" s="32"/>
      <c r="F618" s="57"/>
      <c r="G618" s="57"/>
    </row>
    <row r="619" spans="3:7" ht="12.75" customHeight="1" x14ac:dyDescent="0.2">
      <c r="C619" s="32"/>
      <c r="D619" s="76"/>
      <c r="E619" s="32"/>
      <c r="F619" s="57"/>
      <c r="G619" s="57"/>
    </row>
    <row r="620" spans="3:7" ht="12.75" customHeight="1" x14ac:dyDescent="0.2">
      <c r="C620" s="32"/>
      <c r="D620" s="76"/>
      <c r="E620" s="32"/>
      <c r="F620" s="57"/>
      <c r="G620" s="57"/>
    </row>
    <row r="621" spans="3:7" ht="12.75" customHeight="1" x14ac:dyDescent="0.2">
      <c r="C621" s="32"/>
      <c r="D621" s="76"/>
      <c r="E621" s="32"/>
      <c r="F621" s="57"/>
      <c r="G621" s="57"/>
    </row>
    <row r="622" spans="3:7" ht="12.75" customHeight="1" x14ac:dyDescent="0.2">
      <c r="C622" s="32"/>
      <c r="D622" s="76"/>
      <c r="E622" s="32"/>
      <c r="F622" s="57"/>
      <c r="G622" s="57"/>
    </row>
    <row r="623" spans="3:7" ht="12.75" customHeight="1" x14ac:dyDescent="0.2">
      <c r="C623" s="32"/>
      <c r="D623" s="76"/>
      <c r="E623" s="32"/>
      <c r="F623" s="57"/>
      <c r="G623" s="57"/>
    </row>
    <row r="624" spans="3:7" ht="12.75" customHeight="1" x14ac:dyDescent="0.2">
      <c r="C624" s="32"/>
      <c r="D624" s="76"/>
      <c r="E624" s="32"/>
      <c r="F624" s="57"/>
      <c r="G624" s="57"/>
    </row>
    <row r="625" spans="3:7" ht="12.75" customHeight="1" x14ac:dyDescent="0.2">
      <c r="C625" s="32"/>
      <c r="D625" s="76"/>
      <c r="E625" s="32"/>
      <c r="F625" s="57"/>
      <c r="G625" s="57"/>
    </row>
    <row r="626" spans="3:7" ht="12.75" customHeight="1" x14ac:dyDescent="0.2">
      <c r="C626" s="32"/>
      <c r="D626" s="76"/>
      <c r="E626" s="32"/>
      <c r="F626" s="57"/>
      <c r="G626" s="57"/>
    </row>
    <row r="627" spans="3:7" ht="12.75" customHeight="1" x14ac:dyDescent="0.2">
      <c r="C627" s="32"/>
      <c r="D627" s="76"/>
      <c r="E627" s="32"/>
      <c r="F627" s="57"/>
      <c r="G627" s="57"/>
    </row>
    <row r="628" spans="3:7" ht="12.75" customHeight="1" x14ac:dyDescent="0.2">
      <c r="C628" s="32"/>
      <c r="D628" s="76"/>
      <c r="E628" s="32"/>
      <c r="F628" s="57"/>
      <c r="G628" s="57"/>
    </row>
    <row r="629" spans="3:7" ht="12.75" customHeight="1" x14ac:dyDescent="0.2">
      <c r="C629" s="32"/>
      <c r="D629" s="76"/>
      <c r="E629" s="32"/>
      <c r="F629" s="57"/>
      <c r="G629" s="57"/>
    </row>
    <row r="630" spans="3:7" ht="12.75" customHeight="1" x14ac:dyDescent="0.2">
      <c r="C630" s="32"/>
      <c r="D630" s="76"/>
      <c r="E630" s="32"/>
      <c r="F630" s="57"/>
      <c r="G630" s="57"/>
    </row>
    <row r="631" spans="3:7" ht="12.75" customHeight="1" x14ac:dyDescent="0.2">
      <c r="C631" s="32"/>
      <c r="D631" s="76"/>
      <c r="E631" s="32"/>
      <c r="F631" s="57"/>
      <c r="G631" s="57"/>
    </row>
    <row r="632" spans="3:7" ht="12.75" customHeight="1" x14ac:dyDescent="0.2">
      <c r="C632" s="32"/>
      <c r="D632" s="76"/>
      <c r="E632" s="32"/>
      <c r="F632" s="57"/>
      <c r="G632" s="57"/>
    </row>
    <row r="633" spans="3:7" ht="12.75" customHeight="1" x14ac:dyDescent="0.2">
      <c r="C633" s="32"/>
      <c r="D633" s="76"/>
      <c r="E633" s="32"/>
      <c r="F633" s="57"/>
      <c r="G633" s="57"/>
    </row>
    <row r="634" spans="3:7" ht="12.75" customHeight="1" x14ac:dyDescent="0.2">
      <c r="C634" s="32"/>
      <c r="D634" s="76"/>
      <c r="E634" s="32"/>
      <c r="F634" s="57"/>
      <c r="G634" s="57"/>
    </row>
    <row r="635" spans="3:7" ht="12.75" customHeight="1" x14ac:dyDescent="0.2">
      <c r="C635" s="32"/>
      <c r="D635" s="76"/>
      <c r="E635" s="32"/>
      <c r="F635" s="57"/>
      <c r="G635" s="57"/>
    </row>
    <row r="636" spans="3:7" ht="12.75" customHeight="1" x14ac:dyDescent="0.2">
      <c r="C636" s="32"/>
      <c r="D636" s="76"/>
      <c r="E636" s="32"/>
      <c r="F636" s="57"/>
      <c r="G636" s="57"/>
    </row>
    <row r="637" spans="3:7" ht="12.75" customHeight="1" x14ac:dyDescent="0.2">
      <c r="C637" s="32"/>
      <c r="D637" s="76"/>
      <c r="E637" s="32"/>
      <c r="F637" s="57"/>
      <c r="G637" s="57"/>
    </row>
    <row r="638" spans="3:7" ht="12.75" customHeight="1" x14ac:dyDescent="0.2">
      <c r="C638" s="32"/>
      <c r="D638" s="76"/>
      <c r="E638" s="32"/>
      <c r="F638" s="57"/>
      <c r="G638" s="57"/>
    </row>
    <row r="639" spans="3:7" ht="12.75" customHeight="1" x14ac:dyDescent="0.2">
      <c r="C639" s="32"/>
      <c r="D639" s="76"/>
      <c r="E639" s="32"/>
      <c r="F639" s="57"/>
      <c r="G639" s="57"/>
    </row>
    <row r="640" spans="3:7" ht="12.75" customHeight="1" x14ac:dyDescent="0.2">
      <c r="C640" s="32"/>
      <c r="D640" s="76"/>
      <c r="E640" s="32"/>
      <c r="F640" s="57"/>
      <c r="G640" s="57"/>
    </row>
    <row r="641" spans="3:7" ht="12.75" customHeight="1" x14ac:dyDescent="0.2">
      <c r="C641" s="32"/>
      <c r="D641" s="76"/>
      <c r="E641" s="32"/>
      <c r="F641" s="57"/>
      <c r="G641" s="57"/>
    </row>
    <row r="642" spans="3:7" ht="12.75" customHeight="1" x14ac:dyDescent="0.2">
      <c r="C642" s="32"/>
      <c r="D642" s="76"/>
      <c r="E642" s="32"/>
      <c r="F642" s="57"/>
      <c r="G642" s="57"/>
    </row>
    <row r="643" spans="3:7" ht="12.75" customHeight="1" x14ac:dyDescent="0.2">
      <c r="C643" s="32"/>
      <c r="D643" s="76"/>
      <c r="E643" s="32"/>
      <c r="F643" s="57"/>
      <c r="G643" s="57"/>
    </row>
    <row r="644" spans="3:7" ht="12.75" customHeight="1" x14ac:dyDescent="0.2">
      <c r="C644" s="32"/>
      <c r="D644" s="76"/>
      <c r="E644" s="32"/>
      <c r="F644" s="57"/>
      <c r="G644" s="57"/>
    </row>
    <row r="645" spans="3:7" ht="12.75" customHeight="1" x14ac:dyDescent="0.2">
      <c r="C645" s="32"/>
      <c r="D645" s="76"/>
      <c r="E645" s="32"/>
      <c r="F645" s="57"/>
      <c r="G645" s="57"/>
    </row>
    <row r="646" spans="3:7" ht="12.75" customHeight="1" x14ac:dyDescent="0.2">
      <c r="C646" s="32"/>
      <c r="D646" s="76"/>
      <c r="E646" s="32"/>
      <c r="F646" s="57"/>
      <c r="G646" s="57"/>
    </row>
    <row r="647" spans="3:7" ht="12.75" customHeight="1" x14ac:dyDescent="0.2">
      <c r="C647" s="32"/>
      <c r="D647" s="76"/>
      <c r="E647" s="32"/>
      <c r="F647" s="57"/>
      <c r="G647" s="57"/>
    </row>
    <row r="648" spans="3:7" ht="12.75" customHeight="1" x14ac:dyDescent="0.2">
      <c r="C648" s="32"/>
      <c r="D648" s="76"/>
      <c r="E648" s="32"/>
      <c r="F648" s="57"/>
      <c r="G648" s="57"/>
    </row>
    <row r="649" spans="3:7" ht="12.75" customHeight="1" x14ac:dyDescent="0.2">
      <c r="C649" s="32"/>
      <c r="D649" s="76"/>
      <c r="E649" s="32"/>
      <c r="F649" s="57"/>
      <c r="G649" s="57"/>
    </row>
    <row r="650" spans="3:7" ht="12.75" customHeight="1" x14ac:dyDescent="0.2">
      <c r="C650" s="32"/>
      <c r="D650" s="76"/>
      <c r="E650" s="32"/>
      <c r="F650" s="57"/>
      <c r="G650" s="57"/>
    </row>
    <row r="651" spans="3:7" ht="12.75" customHeight="1" x14ac:dyDescent="0.2">
      <c r="C651" s="32"/>
      <c r="D651" s="76"/>
      <c r="E651" s="32"/>
      <c r="F651" s="57"/>
      <c r="G651" s="57"/>
    </row>
    <row r="652" spans="3:7" ht="12.75" customHeight="1" x14ac:dyDescent="0.2">
      <c r="C652" s="32"/>
      <c r="D652" s="76"/>
      <c r="E652" s="32"/>
      <c r="F652" s="57"/>
      <c r="G652" s="57"/>
    </row>
    <row r="653" spans="3:7" ht="12.75" customHeight="1" x14ac:dyDescent="0.2">
      <c r="C653" s="32"/>
      <c r="D653" s="76"/>
      <c r="E653" s="32"/>
      <c r="F653" s="57"/>
      <c r="G653" s="57"/>
    </row>
    <row r="654" spans="3:7" ht="12.75" customHeight="1" x14ac:dyDescent="0.2">
      <c r="C654" s="32"/>
      <c r="D654" s="76"/>
      <c r="E654" s="32"/>
      <c r="F654" s="57"/>
      <c r="G654" s="57"/>
    </row>
    <row r="655" spans="3:7" ht="12.75" customHeight="1" x14ac:dyDescent="0.2">
      <c r="C655" s="32"/>
      <c r="D655" s="76"/>
      <c r="E655" s="32"/>
      <c r="F655" s="57"/>
      <c r="G655" s="57"/>
    </row>
    <row r="656" spans="3:7" ht="12.75" customHeight="1" x14ac:dyDescent="0.2">
      <c r="C656" s="32"/>
      <c r="D656" s="76"/>
      <c r="E656" s="32"/>
      <c r="F656" s="57"/>
      <c r="G656" s="57"/>
    </row>
    <row r="657" spans="3:7" ht="12.75" customHeight="1" x14ac:dyDescent="0.2">
      <c r="C657" s="32"/>
      <c r="D657" s="76"/>
      <c r="E657" s="32"/>
      <c r="F657" s="57"/>
      <c r="G657" s="57"/>
    </row>
    <row r="658" spans="3:7" ht="12.75" customHeight="1" x14ac:dyDescent="0.2">
      <c r="C658" s="32"/>
      <c r="D658" s="76"/>
      <c r="E658" s="32"/>
      <c r="F658" s="57"/>
      <c r="G658" s="57"/>
    </row>
    <row r="659" spans="3:7" ht="12.75" customHeight="1" x14ac:dyDescent="0.2">
      <c r="C659" s="32"/>
      <c r="D659" s="76"/>
      <c r="E659" s="32"/>
      <c r="F659" s="57"/>
      <c r="G659" s="57"/>
    </row>
    <row r="660" spans="3:7" ht="12.75" customHeight="1" x14ac:dyDescent="0.2">
      <c r="C660" s="32"/>
      <c r="D660" s="76"/>
      <c r="E660" s="32"/>
      <c r="F660" s="57"/>
      <c r="G660" s="57"/>
    </row>
    <row r="661" spans="3:7" ht="12.75" customHeight="1" x14ac:dyDescent="0.2">
      <c r="C661" s="32"/>
      <c r="D661" s="76"/>
      <c r="E661" s="32"/>
      <c r="F661" s="57"/>
      <c r="G661" s="57"/>
    </row>
    <row r="662" spans="3:7" ht="12.75" customHeight="1" x14ac:dyDescent="0.2">
      <c r="C662" s="32"/>
      <c r="D662" s="76"/>
      <c r="E662" s="32"/>
      <c r="F662" s="57"/>
      <c r="G662" s="57"/>
    </row>
    <row r="663" spans="3:7" ht="12.75" customHeight="1" x14ac:dyDescent="0.2">
      <c r="C663" s="32"/>
      <c r="D663" s="76"/>
      <c r="E663" s="32"/>
      <c r="F663" s="57"/>
      <c r="G663" s="57"/>
    </row>
    <row r="664" spans="3:7" ht="12.75" customHeight="1" x14ac:dyDescent="0.2">
      <c r="C664" s="32"/>
      <c r="D664" s="76"/>
      <c r="E664" s="32"/>
      <c r="F664" s="57"/>
      <c r="G664" s="57"/>
    </row>
    <row r="665" spans="3:7" ht="12.75" customHeight="1" x14ac:dyDescent="0.2">
      <c r="C665" s="32"/>
      <c r="D665" s="76"/>
      <c r="E665" s="32"/>
      <c r="F665" s="57"/>
      <c r="G665" s="57"/>
    </row>
    <row r="666" spans="3:7" ht="12.75" customHeight="1" x14ac:dyDescent="0.2">
      <c r="C666" s="32"/>
      <c r="D666" s="76"/>
      <c r="E666" s="32"/>
      <c r="F666" s="57"/>
      <c r="G666" s="57"/>
    </row>
    <row r="667" spans="3:7" ht="12.75" customHeight="1" x14ac:dyDescent="0.2">
      <c r="C667" s="32"/>
      <c r="D667" s="76"/>
      <c r="E667" s="32"/>
      <c r="F667" s="57"/>
      <c r="G667" s="57"/>
    </row>
    <row r="668" spans="3:7" ht="12.75" customHeight="1" x14ac:dyDescent="0.2">
      <c r="C668" s="32"/>
      <c r="D668" s="76"/>
      <c r="E668" s="32"/>
      <c r="F668" s="57"/>
      <c r="G668" s="57"/>
    </row>
    <row r="669" spans="3:7" ht="12.75" customHeight="1" x14ac:dyDescent="0.2">
      <c r="C669" s="32"/>
      <c r="D669" s="76"/>
      <c r="E669" s="32"/>
      <c r="F669" s="57"/>
      <c r="G669" s="57"/>
    </row>
    <row r="670" spans="3:7" ht="12.75" customHeight="1" x14ac:dyDescent="0.2">
      <c r="C670" s="32"/>
      <c r="D670" s="76"/>
      <c r="E670" s="32"/>
      <c r="F670" s="57"/>
      <c r="G670" s="57"/>
    </row>
    <row r="671" spans="3:7" ht="12.75" customHeight="1" x14ac:dyDescent="0.2">
      <c r="C671" s="32"/>
      <c r="D671" s="76"/>
      <c r="E671" s="32"/>
      <c r="F671" s="57"/>
      <c r="G671" s="57"/>
    </row>
    <row r="672" spans="3:7" ht="12.75" customHeight="1" x14ac:dyDescent="0.2">
      <c r="C672" s="32"/>
      <c r="D672" s="76"/>
      <c r="E672" s="32"/>
      <c r="F672" s="57"/>
      <c r="G672" s="57"/>
    </row>
    <row r="673" spans="3:7" ht="12.75" customHeight="1" x14ac:dyDescent="0.2">
      <c r="C673" s="32"/>
      <c r="D673" s="76"/>
      <c r="E673" s="32"/>
      <c r="F673" s="57"/>
      <c r="G673" s="57"/>
    </row>
    <row r="674" spans="3:7" ht="12.75" customHeight="1" x14ac:dyDescent="0.2">
      <c r="C674" s="32"/>
      <c r="D674" s="76"/>
      <c r="E674" s="32"/>
      <c r="F674" s="57"/>
      <c r="G674" s="57"/>
    </row>
    <row r="675" spans="3:7" ht="12.75" customHeight="1" x14ac:dyDescent="0.2">
      <c r="C675" s="32"/>
      <c r="D675" s="76"/>
      <c r="E675" s="32"/>
      <c r="F675" s="57"/>
      <c r="G675" s="57"/>
    </row>
    <row r="676" spans="3:7" ht="12.75" customHeight="1" x14ac:dyDescent="0.2">
      <c r="C676" s="32"/>
      <c r="D676" s="76"/>
      <c r="E676" s="32"/>
      <c r="F676" s="57"/>
      <c r="G676" s="57"/>
    </row>
    <row r="677" spans="3:7" ht="12.75" customHeight="1" x14ac:dyDescent="0.2">
      <c r="C677" s="32"/>
      <c r="D677" s="76"/>
      <c r="E677" s="32"/>
      <c r="F677" s="57"/>
      <c r="G677" s="57"/>
    </row>
    <row r="678" spans="3:7" ht="12.75" customHeight="1" x14ac:dyDescent="0.2">
      <c r="C678" s="32"/>
      <c r="D678" s="76"/>
      <c r="E678" s="32"/>
      <c r="F678" s="57"/>
      <c r="G678" s="57"/>
    </row>
    <row r="679" spans="3:7" ht="12.75" customHeight="1" x14ac:dyDescent="0.2">
      <c r="C679" s="32"/>
      <c r="D679" s="76"/>
      <c r="E679" s="32"/>
      <c r="F679" s="57"/>
      <c r="G679" s="57"/>
    </row>
    <row r="680" spans="3:7" ht="12.75" customHeight="1" x14ac:dyDescent="0.2">
      <c r="C680" s="32"/>
      <c r="D680" s="76"/>
      <c r="E680" s="32"/>
      <c r="F680" s="57"/>
      <c r="G680" s="57"/>
    </row>
    <row r="681" spans="3:7" ht="12.75" customHeight="1" x14ac:dyDescent="0.2">
      <c r="C681" s="32"/>
      <c r="D681" s="76"/>
      <c r="E681" s="32"/>
      <c r="F681" s="57"/>
      <c r="G681" s="57"/>
    </row>
    <row r="682" spans="3:7" ht="12.75" customHeight="1" x14ac:dyDescent="0.2">
      <c r="C682" s="32"/>
      <c r="D682" s="76"/>
      <c r="E682" s="32"/>
      <c r="F682" s="57"/>
      <c r="G682" s="57"/>
    </row>
    <row r="683" spans="3:7" ht="12.75" customHeight="1" x14ac:dyDescent="0.2">
      <c r="C683" s="32"/>
      <c r="D683" s="76"/>
      <c r="E683" s="32"/>
      <c r="F683" s="57"/>
      <c r="G683" s="57"/>
    </row>
    <row r="684" spans="3:7" ht="12.75" customHeight="1" x14ac:dyDescent="0.2">
      <c r="C684" s="32"/>
      <c r="D684" s="76"/>
      <c r="E684" s="32"/>
      <c r="F684" s="57"/>
      <c r="G684" s="57"/>
    </row>
    <row r="685" spans="3:7" ht="12.75" customHeight="1" x14ac:dyDescent="0.2">
      <c r="C685" s="32"/>
      <c r="D685" s="76"/>
      <c r="E685" s="32"/>
      <c r="F685" s="57"/>
      <c r="G685" s="57"/>
    </row>
    <row r="686" spans="3:7" ht="12.75" customHeight="1" x14ac:dyDescent="0.2">
      <c r="C686" s="32"/>
      <c r="D686" s="76"/>
      <c r="E686" s="32"/>
      <c r="F686" s="57"/>
      <c r="G686" s="57"/>
    </row>
    <row r="687" spans="3:7" ht="12.75" customHeight="1" x14ac:dyDescent="0.2">
      <c r="C687" s="32"/>
      <c r="D687" s="76"/>
      <c r="E687" s="32"/>
      <c r="F687" s="57"/>
      <c r="G687" s="57"/>
    </row>
    <row r="688" spans="3:7" ht="12.75" customHeight="1" x14ac:dyDescent="0.2">
      <c r="C688" s="32"/>
      <c r="D688" s="76"/>
      <c r="E688" s="32"/>
      <c r="F688" s="57"/>
      <c r="G688" s="57"/>
    </row>
    <row r="689" spans="3:7" ht="12.75" customHeight="1" x14ac:dyDescent="0.2">
      <c r="C689" s="32"/>
      <c r="D689" s="76"/>
      <c r="E689" s="32"/>
      <c r="F689" s="57"/>
      <c r="G689" s="57"/>
    </row>
    <row r="690" spans="3:7" ht="12.75" customHeight="1" x14ac:dyDescent="0.2">
      <c r="C690" s="32"/>
      <c r="D690" s="76"/>
      <c r="E690" s="32"/>
      <c r="F690" s="57"/>
      <c r="G690" s="57"/>
    </row>
    <row r="691" spans="3:7" ht="12.75" customHeight="1" x14ac:dyDescent="0.2">
      <c r="C691" s="32"/>
      <c r="D691" s="76"/>
      <c r="E691" s="32"/>
      <c r="F691" s="57"/>
      <c r="G691" s="57"/>
    </row>
    <row r="692" spans="3:7" ht="12.75" customHeight="1" x14ac:dyDescent="0.2">
      <c r="C692" s="32"/>
      <c r="D692" s="76"/>
      <c r="E692" s="32"/>
      <c r="F692" s="57"/>
      <c r="G692" s="57"/>
    </row>
    <row r="693" spans="3:7" ht="12.75" customHeight="1" x14ac:dyDescent="0.2">
      <c r="C693" s="32"/>
      <c r="D693" s="76"/>
      <c r="E693" s="32"/>
      <c r="F693" s="57"/>
      <c r="G693" s="57"/>
    </row>
    <row r="694" spans="3:7" ht="12.75" customHeight="1" x14ac:dyDescent="0.2">
      <c r="C694" s="32"/>
      <c r="D694" s="76"/>
      <c r="E694" s="32"/>
      <c r="F694" s="57"/>
      <c r="G694" s="57"/>
    </row>
    <row r="695" spans="3:7" ht="12.75" customHeight="1" x14ac:dyDescent="0.2">
      <c r="C695" s="32"/>
      <c r="D695" s="76"/>
      <c r="E695" s="32"/>
      <c r="F695" s="57"/>
      <c r="G695" s="57"/>
    </row>
    <row r="696" spans="3:7" ht="12.75" customHeight="1" x14ac:dyDescent="0.2">
      <c r="C696" s="32"/>
      <c r="D696" s="76"/>
      <c r="E696" s="32"/>
      <c r="F696" s="57"/>
      <c r="G696" s="57"/>
    </row>
    <row r="697" spans="3:7" ht="12.75" customHeight="1" x14ac:dyDescent="0.2">
      <c r="C697" s="32"/>
      <c r="D697" s="76"/>
      <c r="E697" s="32"/>
      <c r="F697" s="57"/>
      <c r="G697" s="57"/>
    </row>
    <row r="698" spans="3:7" ht="12.75" customHeight="1" x14ac:dyDescent="0.2">
      <c r="C698" s="32"/>
      <c r="D698" s="76"/>
      <c r="E698" s="32"/>
      <c r="F698" s="57"/>
      <c r="G698" s="57"/>
    </row>
    <row r="699" spans="3:7" ht="12.75" customHeight="1" x14ac:dyDescent="0.2">
      <c r="C699" s="32"/>
      <c r="D699" s="76"/>
      <c r="E699" s="32"/>
      <c r="F699" s="57"/>
      <c r="G699" s="57"/>
    </row>
    <row r="700" spans="3:7" ht="12.75" customHeight="1" x14ac:dyDescent="0.2">
      <c r="C700" s="32"/>
      <c r="D700" s="76"/>
      <c r="E700" s="32"/>
      <c r="F700" s="57"/>
      <c r="G700" s="57"/>
    </row>
    <row r="701" spans="3:7" ht="12.75" customHeight="1" x14ac:dyDescent="0.2">
      <c r="C701" s="32"/>
      <c r="D701" s="76"/>
      <c r="E701" s="32"/>
      <c r="F701" s="57"/>
      <c r="G701" s="57"/>
    </row>
    <row r="702" spans="3:7" ht="12.75" customHeight="1" x14ac:dyDescent="0.2">
      <c r="C702" s="32"/>
      <c r="D702" s="76"/>
      <c r="E702" s="32"/>
      <c r="F702" s="57"/>
      <c r="G702" s="57"/>
    </row>
    <row r="703" spans="3:7" ht="12.75" customHeight="1" x14ac:dyDescent="0.2">
      <c r="C703" s="32"/>
      <c r="D703" s="76"/>
      <c r="E703" s="32"/>
      <c r="F703" s="57"/>
      <c r="G703" s="57"/>
    </row>
    <row r="704" spans="3:7" ht="12.75" customHeight="1" x14ac:dyDescent="0.2">
      <c r="C704" s="32"/>
      <c r="D704" s="76"/>
      <c r="E704" s="32"/>
      <c r="F704" s="57"/>
      <c r="G704" s="57"/>
    </row>
    <row r="705" spans="3:7" ht="12.75" customHeight="1" x14ac:dyDescent="0.2">
      <c r="C705" s="32"/>
      <c r="D705" s="76"/>
      <c r="E705" s="32"/>
      <c r="F705" s="57"/>
      <c r="G705" s="57"/>
    </row>
    <row r="706" spans="3:7" ht="12.75" customHeight="1" x14ac:dyDescent="0.2">
      <c r="C706" s="32"/>
      <c r="D706" s="76"/>
      <c r="E706" s="32"/>
      <c r="F706" s="57"/>
      <c r="G706" s="57"/>
    </row>
    <row r="707" spans="3:7" ht="12.75" customHeight="1" x14ac:dyDescent="0.2">
      <c r="C707" s="32"/>
      <c r="D707" s="76"/>
      <c r="E707" s="32"/>
      <c r="F707" s="57"/>
      <c r="G707" s="57"/>
    </row>
    <row r="708" spans="3:7" ht="12.75" customHeight="1" x14ac:dyDescent="0.2">
      <c r="C708" s="32"/>
      <c r="D708" s="76"/>
      <c r="E708" s="32"/>
      <c r="F708" s="57"/>
      <c r="G708" s="57"/>
    </row>
    <row r="709" spans="3:7" ht="12.75" customHeight="1" x14ac:dyDescent="0.2">
      <c r="C709" s="32"/>
      <c r="D709" s="76"/>
      <c r="E709" s="32"/>
      <c r="F709" s="57"/>
      <c r="G709" s="57"/>
    </row>
    <row r="710" spans="3:7" ht="12.75" customHeight="1" x14ac:dyDescent="0.2">
      <c r="C710" s="32"/>
      <c r="D710" s="76"/>
      <c r="E710" s="32"/>
      <c r="F710" s="57"/>
      <c r="G710" s="57"/>
    </row>
    <row r="711" spans="3:7" ht="12.75" customHeight="1" x14ac:dyDescent="0.2">
      <c r="C711" s="32"/>
      <c r="D711" s="76"/>
      <c r="E711" s="32"/>
      <c r="F711" s="57"/>
      <c r="G711" s="57"/>
    </row>
    <row r="712" spans="3:7" ht="12.75" customHeight="1" x14ac:dyDescent="0.2">
      <c r="C712" s="32"/>
      <c r="D712" s="76"/>
      <c r="E712" s="32"/>
      <c r="F712" s="57"/>
      <c r="G712" s="57"/>
    </row>
    <row r="713" spans="3:7" ht="12.75" customHeight="1" x14ac:dyDescent="0.2">
      <c r="C713" s="32"/>
      <c r="D713" s="76"/>
      <c r="E713" s="32"/>
      <c r="F713" s="57"/>
      <c r="G713" s="57"/>
    </row>
    <row r="714" spans="3:7" ht="12.75" customHeight="1" x14ac:dyDescent="0.2">
      <c r="C714" s="32"/>
      <c r="D714" s="76"/>
      <c r="E714" s="32"/>
      <c r="F714" s="57"/>
      <c r="G714" s="57"/>
    </row>
    <row r="715" spans="3:7" ht="12.75" customHeight="1" x14ac:dyDescent="0.2">
      <c r="C715" s="32"/>
      <c r="D715" s="76"/>
      <c r="E715" s="32"/>
      <c r="F715" s="57"/>
      <c r="G715" s="57"/>
    </row>
    <row r="716" spans="3:7" ht="12.75" customHeight="1" x14ac:dyDescent="0.2">
      <c r="C716" s="32"/>
      <c r="D716" s="76"/>
      <c r="E716" s="32"/>
      <c r="F716" s="57"/>
      <c r="G716" s="57"/>
    </row>
    <row r="717" spans="3:7" ht="12.75" customHeight="1" x14ac:dyDescent="0.2">
      <c r="C717" s="32"/>
      <c r="D717" s="76"/>
      <c r="E717" s="32"/>
      <c r="F717" s="57"/>
      <c r="G717" s="57"/>
    </row>
    <row r="718" spans="3:7" ht="12.75" customHeight="1" x14ac:dyDescent="0.2">
      <c r="C718" s="32"/>
      <c r="D718" s="76"/>
      <c r="E718" s="32"/>
      <c r="F718" s="57"/>
      <c r="G718" s="57"/>
    </row>
    <row r="719" spans="3:7" ht="12.75" customHeight="1" x14ac:dyDescent="0.2">
      <c r="C719" s="32"/>
      <c r="D719" s="76"/>
      <c r="E719" s="32"/>
      <c r="F719" s="57"/>
      <c r="G719" s="57"/>
    </row>
    <row r="720" spans="3:7" ht="12.75" customHeight="1" x14ac:dyDescent="0.2">
      <c r="C720" s="32"/>
      <c r="D720" s="76"/>
      <c r="E720" s="32"/>
      <c r="F720" s="57"/>
      <c r="G720" s="57"/>
    </row>
    <row r="721" spans="3:7" ht="12.75" customHeight="1" x14ac:dyDescent="0.2">
      <c r="C721" s="32"/>
      <c r="D721" s="76"/>
      <c r="E721" s="32"/>
      <c r="F721" s="57"/>
      <c r="G721" s="57"/>
    </row>
    <row r="722" spans="3:7" ht="12.75" customHeight="1" x14ac:dyDescent="0.2">
      <c r="C722" s="32"/>
      <c r="D722" s="76"/>
      <c r="E722" s="32"/>
      <c r="F722" s="57"/>
      <c r="G722" s="57"/>
    </row>
    <row r="723" spans="3:7" ht="12.75" customHeight="1" x14ac:dyDescent="0.2">
      <c r="C723" s="32"/>
      <c r="D723" s="76"/>
      <c r="E723" s="32"/>
      <c r="F723" s="57"/>
      <c r="G723" s="57"/>
    </row>
    <row r="724" spans="3:7" ht="12.75" customHeight="1" x14ac:dyDescent="0.2">
      <c r="C724" s="32"/>
      <c r="D724" s="76"/>
      <c r="E724" s="32"/>
      <c r="F724" s="57"/>
      <c r="G724" s="57"/>
    </row>
    <row r="725" spans="3:7" ht="12.75" customHeight="1" x14ac:dyDescent="0.2">
      <c r="C725" s="32"/>
      <c r="D725" s="76"/>
      <c r="E725" s="32"/>
      <c r="F725" s="57"/>
      <c r="G725" s="57"/>
    </row>
    <row r="726" spans="3:7" ht="12.75" customHeight="1" x14ac:dyDescent="0.2">
      <c r="C726" s="32"/>
      <c r="D726" s="76"/>
      <c r="E726" s="32"/>
      <c r="F726" s="57"/>
      <c r="G726" s="57"/>
    </row>
    <row r="727" spans="3:7" ht="12.75" customHeight="1" x14ac:dyDescent="0.2">
      <c r="C727" s="32"/>
      <c r="D727" s="76"/>
      <c r="E727" s="32"/>
      <c r="F727" s="57"/>
      <c r="G727" s="57"/>
    </row>
    <row r="728" spans="3:7" ht="12.75" customHeight="1" x14ac:dyDescent="0.2">
      <c r="C728" s="32"/>
      <c r="D728" s="76"/>
      <c r="E728" s="32"/>
      <c r="F728" s="57"/>
      <c r="G728" s="57"/>
    </row>
    <row r="729" spans="3:7" ht="12.75" customHeight="1" x14ac:dyDescent="0.2">
      <c r="C729" s="32"/>
      <c r="D729" s="76"/>
      <c r="E729" s="32"/>
      <c r="F729" s="57"/>
      <c r="G729" s="57"/>
    </row>
    <row r="730" spans="3:7" ht="12.75" customHeight="1" x14ac:dyDescent="0.2">
      <c r="C730" s="32"/>
      <c r="D730" s="76"/>
      <c r="E730" s="32"/>
      <c r="F730" s="57"/>
      <c r="G730" s="57"/>
    </row>
    <row r="731" spans="3:7" ht="12.75" customHeight="1" x14ac:dyDescent="0.2">
      <c r="C731" s="32"/>
      <c r="D731" s="76"/>
      <c r="E731" s="32"/>
      <c r="F731" s="57"/>
      <c r="G731" s="57"/>
    </row>
    <row r="732" spans="3:7" ht="12.75" customHeight="1" x14ac:dyDescent="0.2">
      <c r="C732" s="32"/>
      <c r="D732" s="76"/>
      <c r="E732" s="32"/>
      <c r="F732" s="57"/>
      <c r="G732" s="57"/>
    </row>
    <row r="733" spans="3:7" ht="12.75" customHeight="1" x14ac:dyDescent="0.2">
      <c r="C733" s="32"/>
      <c r="D733" s="76"/>
      <c r="E733" s="32"/>
      <c r="F733" s="57"/>
      <c r="G733" s="57"/>
    </row>
    <row r="734" spans="3:7" ht="12.75" customHeight="1" x14ac:dyDescent="0.2">
      <c r="C734" s="32"/>
      <c r="D734" s="76"/>
      <c r="E734" s="32"/>
      <c r="F734" s="57"/>
      <c r="G734" s="57"/>
    </row>
    <row r="735" spans="3:7" ht="12.75" customHeight="1" x14ac:dyDescent="0.2">
      <c r="C735" s="32"/>
      <c r="D735" s="76"/>
      <c r="E735" s="32"/>
      <c r="F735" s="57"/>
      <c r="G735" s="57"/>
    </row>
    <row r="736" spans="3:7" ht="12.75" customHeight="1" x14ac:dyDescent="0.2">
      <c r="C736" s="32"/>
      <c r="D736" s="76"/>
      <c r="E736" s="32"/>
      <c r="F736" s="57"/>
      <c r="G736" s="57"/>
    </row>
    <row r="737" spans="3:7" ht="12.75" customHeight="1" x14ac:dyDescent="0.2">
      <c r="C737" s="32"/>
      <c r="D737" s="76"/>
      <c r="E737" s="32"/>
      <c r="F737" s="57"/>
      <c r="G737" s="57"/>
    </row>
    <row r="738" spans="3:7" ht="12.75" customHeight="1" x14ac:dyDescent="0.2">
      <c r="C738" s="32"/>
      <c r="D738" s="76"/>
      <c r="E738" s="32"/>
      <c r="F738" s="57"/>
      <c r="G738" s="57"/>
    </row>
    <row r="739" spans="3:7" ht="12.75" customHeight="1" x14ac:dyDescent="0.2">
      <c r="C739" s="32"/>
      <c r="D739" s="76"/>
      <c r="E739" s="32"/>
      <c r="F739" s="57"/>
      <c r="G739" s="57"/>
    </row>
    <row r="740" spans="3:7" ht="12.75" customHeight="1" x14ac:dyDescent="0.2">
      <c r="C740" s="32"/>
      <c r="D740" s="76"/>
      <c r="E740" s="32"/>
      <c r="F740" s="57"/>
      <c r="G740" s="57"/>
    </row>
    <row r="741" spans="3:7" ht="12.75" customHeight="1" x14ac:dyDescent="0.2">
      <c r="C741" s="32"/>
      <c r="D741" s="76"/>
      <c r="E741" s="32"/>
      <c r="F741" s="57"/>
      <c r="G741" s="57"/>
    </row>
    <row r="742" spans="3:7" ht="12.75" customHeight="1" x14ac:dyDescent="0.2">
      <c r="C742" s="32"/>
      <c r="D742" s="76"/>
      <c r="E742" s="32"/>
      <c r="F742" s="57"/>
      <c r="G742" s="57"/>
    </row>
    <row r="743" spans="3:7" ht="12.75" customHeight="1" x14ac:dyDescent="0.2">
      <c r="C743" s="32"/>
      <c r="D743" s="76"/>
      <c r="E743" s="32"/>
      <c r="F743" s="57"/>
      <c r="G743" s="57"/>
    </row>
    <row r="744" spans="3:7" ht="12.75" customHeight="1" x14ac:dyDescent="0.2">
      <c r="C744" s="32"/>
      <c r="D744" s="76"/>
      <c r="E744" s="32"/>
      <c r="F744" s="57"/>
      <c r="G744" s="57"/>
    </row>
    <row r="745" spans="3:7" ht="12.75" customHeight="1" x14ac:dyDescent="0.2">
      <c r="C745" s="32"/>
      <c r="D745" s="76"/>
      <c r="E745" s="32"/>
      <c r="F745" s="57"/>
      <c r="G745" s="57"/>
    </row>
    <row r="746" spans="3:7" ht="12.75" customHeight="1" x14ac:dyDescent="0.2">
      <c r="C746" s="32"/>
      <c r="D746" s="76"/>
      <c r="E746" s="32"/>
      <c r="F746" s="57"/>
      <c r="G746" s="57"/>
    </row>
    <row r="747" spans="3:7" ht="12.75" customHeight="1" x14ac:dyDescent="0.2">
      <c r="C747" s="32"/>
      <c r="D747" s="76"/>
      <c r="E747" s="32"/>
      <c r="F747" s="57"/>
      <c r="G747" s="57"/>
    </row>
    <row r="748" spans="3:7" ht="12.75" customHeight="1" x14ac:dyDescent="0.2">
      <c r="C748" s="32"/>
      <c r="D748" s="76"/>
      <c r="E748" s="32"/>
      <c r="F748" s="57"/>
      <c r="G748" s="57"/>
    </row>
    <row r="749" spans="3:7" ht="12.75" customHeight="1" x14ac:dyDescent="0.2">
      <c r="C749" s="32"/>
      <c r="D749" s="76"/>
      <c r="E749" s="32"/>
      <c r="F749" s="57"/>
      <c r="G749" s="57"/>
    </row>
    <row r="750" spans="3:7" ht="12.75" customHeight="1" x14ac:dyDescent="0.2">
      <c r="C750" s="32"/>
      <c r="D750" s="76"/>
      <c r="E750" s="32"/>
      <c r="F750" s="57"/>
      <c r="G750" s="57"/>
    </row>
    <row r="751" spans="3:7" ht="12.75" customHeight="1" x14ac:dyDescent="0.2">
      <c r="C751" s="32"/>
      <c r="D751" s="76"/>
      <c r="E751" s="32"/>
      <c r="F751" s="57"/>
      <c r="G751" s="57"/>
    </row>
    <row r="752" spans="3:7" ht="12.75" customHeight="1" x14ac:dyDescent="0.2">
      <c r="C752" s="32"/>
      <c r="D752" s="76"/>
      <c r="E752" s="32"/>
      <c r="F752" s="57"/>
      <c r="G752" s="57"/>
    </row>
    <row r="753" spans="3:7" ht="12.75" customHeight="1" x14ac:dyDescent="0.2">
      <c r="C753" s="32"/>
      <c r="D753" s="76"/>
      <c r="E753" s="32"/>
      <c r="F753" s="57"/>
      <c r="G753" s="57"/>
    </row>
    <row r="754" spans="3:7" ht="12.75" customHeight="1" x14ac:dyDescent="0.2">
      <c r="C754" s="32"/>
      <c r="D754" s="76"/>
      <c r="E754" s="32"/>
      <c r="F754" s="57"/>
      <c r="G754" s="57"/>
    </row>
    <row r="755" spans="3:7" ht="12.75" customHeight="1" x14ac:dyDescent="0.2">
      <c r="C755" s="32"/>
      <c r="D755" s="76"/>
      <c r="E755" s="32"/>
      <c r="F755" s="57"/>
      <c r="G755" s="57"/>
    </row>
    <row r="756" spans="3:7" ht="12.75" customHeight="1" x14ac:dyDescent="0.2">
      <c r="C756" s="32"/>
      <c r="D756" s="76"/>
      <c r="E756" s="32"/>
      <c r="F756" s="57"/>
      <c r="G756" s="57"/>
    </row>
    <row r="757" spans="3:7" ht="12.75" customHeight="1" x14ac:dyDescent="0.2">
      <c r="C757" s="32"/>
      <c r="D757" s="76"/>
      <c r="E757" s="32"/>
      <c r="F757" s="57"/>
      <c r="G757" s="57"/>
    </row>
    <row r="758" spans="3:7" ht="12.75" customHeight="1" x14ac:dyDescent="0.2">
      <c r="C758" s="32"/>
      <c r="D758" s="76"/>
      <c r="E758" s="32"/>
      <c r="F758" s="57"/>
      <c r="G758" s="57"/>
    </row>
    <row r="759" spans="3:7" ht="12.75" customHeight="1" x14ac:dyDescent="0.2">
      <c r="C759" s="32"/>
      <c r="D759" s="76"/>
      <c r="E759" s="32"/>
      <c r="F759" s="57"/>
      <c r="G759" s="57"/>
    </row>
    <row r="760" spans="3:7" ht="12.75" customHeight="1" x14ac:dyDescent="0.2">
      <c r="C760" s="32"/>
      <c r="D760" s="76"/>
      <c r="E760" s="32"/>
      <c r="F760" s="57"/>
      <c r="G760" s="57"/>
    </row>
    <row r="761" spans="3:7" ht="12.75" customHeight="1" x14ac:dyDescent="0.2">
      <c r="C761" s="32"/>
      <c r="D761" s="76"/>
      <c r="E761" s="32"/>
      <c r="F761" s="57"/>
      <c r="G761" s="57"/>
    </row>
    <row r="762" spans="3:7" ht="12.75" customHeight="1" x14ac:dyDescent="0.2">
      <c r="C762" s="32"/>
      <c r="D762" s="76"/>
      <c r="E762" s="32"/>
      <c r="F762" s="57"/>
      <c r="G762" s="57"/>
    </row>
    <row r="763" spans="3:7" ht="12.75" customHeight="1" x14ac:dyDescent="0.2">
      <c r="C763" s="32"/>
      <c r="D763" s="76"/>
      <c r="E763" s="32"/>
      <c r="F763" s="57"/>
      <c r="G763" s="57"/>
    </row>
    <row r="764" spans="3:7" ht="12.75" customHeight="1" x14ac:dyDescent="0.2">
      <c r="C764" s="32"/>
      <c r="D764" s="76"/>
      <c r="E764" s="32"/>
      <c r="F764" s="57"/>
      <c r="G764" s="57"/>
    </row>
    <row r="765" spans="3:7" ht="12.75" customHeight="1" x14ac:dyDescent="0.2">
      <c r="C765" s="32"/>
      <c r="D765" s="76"/>
      <c r="E765" s="32"/>
      <c r="F765" s="57"/>
      <c r="G765" s="57"/>
    </row>
    <row r="766" spans="3:7" ht="12.75" customHeight="1" x14ac:dyDescent="0.2">
      <c r="C766" s="32"/>
      <c r="D766" s="76"/>
      <c r="E766" s="32"/>
      <c r="F766" s="57"/>
      <c r="G766" s="57"/>
    </row>
    <row r="767" spans="3:7" ht="12.75" customHeight="1" x14ac:dyDescent="0.2">
      <c r="C767" s="32"/>
      <c r="D767" s="76"/>
      <c r="E767" s="32"/>
      <c r="F767" s="57"/>
      <c r="G767" s="57"/>
    </row>
    <row r="768" spans="3:7" ht="12.75" customHeight="1" x14ac:dyDescent="0.2">
      <c r="C768" s="32"/>
      <c r="D768" s="76"/>
      <c r="E768" s="32"/>
      <c r="F768" s="57"/>
      <c r="G768" s="57"/>
    </row>
    <row r="769" spans="3:7" ht="12.75" customHeight="1" x14ac:dyDescent="0.2">
      <c r="C769" s="32"/>
      <c r="D769" s="76"/>
      <c r="E769" s="32"/>
      <c r="F769" s="57"/>
      <c r="G769" s="57"/>
    </row>
    <row r="770" spans="3:7" ht="12.75" customHeight="1" x14ac:dyDescent="0.2">
      <c r="C770" s="32"/>
      <c r="D770" s="76"/>
      <c r="E770" s="32"/>
      <c r="F770" s="57"/>
      <c r="G770" s="57"/>
    </row>
    <row r="771" spans="3:7" ht="12.75" customHeight="1" x14ac:dyDescent="0.2">
      <c r="C771" s="32"/>
      <c r="D771" s="76"/>
      <c r="E771" s="32"/>
      <c r="F771" s="57"/>
      <c r="G771" s="57"/>
    </row>
    <row r="772" spans="3:7" ht="12.75" customHeight="1" x14ac:dyDescent="0.2">
      <c r="C772" s="32"/>
      <c r="D772" s="76"/>
      <c r="E772" s="32"/>
      <c r="F772" s="57"/>
      <c r="G772" s="57"/>
    </row>
    <row r="773" spans="3:7" ht="12.75" customHeight="1" x14ac:dyDescent="0.2">
      <c r="C773" s="32"/>
      <c r="D773" s="76"/>
      <c r="E773" s="32"/>
      <c r="F773" s="57"/>
      <c r="G773" s="57"/>
    </row>
    <row r="774" spans="3:7" ht="12.75" customHeight="1" x14ac:dyDescent="0.2">
      <c r="C774" s="32"/>
      <c r="D774" s="76"/>
      <c r="E774" s="32"/>
      <c r="F774" s="57"/>
      <c r="G774" s="57"/>
    </row>
    <row r="775" spans="3:7" ht="12.75" customHeight="1" x14ac:dyDescent="0.2">
      <c r="C775" s="32"/>
      <c r="D775" s="76"/>
      <c r="E775" s="32"/>
      <c r="F775" s="57"/>
      <c r="G775" s="57"/>
    </row>
    <row r="776" spans="3:7" ht="12.75" customHeight="1" x14ac:dyDescent="0.2">
      <c r="C776" s="32"/>
      <c r="D776" s="76"/>
      <c r="E776" s="32"/>
      <c r="F776" s="57"/>
      <c r="G776" s="57"/>
    </row>
    <row r="777" spans="3:7" ht="12.75" customHeight="1" x14ac:dyDescent="0.2">
      <c r="C777" s="32"/>
      <c r="D777" s="76"/>
      <c r="E777" s="32"/>
      <c r="F777" s="57"/>
      <c r="G777" s="57"/>
    </row>
    <row r="778" spans="3:7" ht="12.75" customHeight="1" x14ac:dyDescent="0.2">
      <c r="C778" s="32"/>
      <c r="D778" s="76"/>
      <c r="E778" s="32"/>
      <c r="F778" s="57"/>
      <c r="G778" s="57"/>
    </row>
    <row r="779" spans="3:7" ht="12.75" customHeight="1" x14ac:dyDescent="0.2">
      <c r="C779" s="32"/>
      <c r="D779" s="76"/>
      <c r="E779" s="32"/>
      <c r="F779" s="57"/>
      <c r="G779" s="57"/>
    </row>
    <row r="780" spans="3:7" ht="12.75" customHeight="1" x14ac:dyDescent="0.2">
      <c r="C780" s="32"/>
      <c r="D780" s="76"/>
      <c r="E780" s="32"/>
      <c r="F780" s="57"/>
      <c r="G780" s="57"/>
    </row>
    <row r="781" spans="3:7" ht="12.75" customHeight="1" x14ac:dyDescent="0.2">
      <c r="C781" s="32"/>
      <c r="D781" s="76"/>
      <c r="E781" s="32"/>
      <c r="F781" s="57"/>
      <c r="G781" s="57"/>
    </row>
    <row r="782" spans="3:7" ht="12.75" customHeight="1" x14ac:dyDescent="0.2">
      <c r="C782" s="32"/>
      <c r="D782" s="76"/>
      <c r="E782" s="32"/>
      <c r="F782" s="57"/>
      <c r="G782" s="57"/>
    </row>
    <row r="783" spans="3:7" ht="12.75" customHeight="1" x14ac:dyDescent="0.2">
      <c r="C783" s="32"/>
      <c r="D783" s="76"/>
      <c r="E783" s="32"/>
      <c r="F783" s="57"/>
      <c r="G783" s="57"/>
    </row>
    <row r="784" spans="3:7" ht="12.75" customHeight="1" x14ac:dyDescent="0.2">
      <c r="C784" s="32"/>
      <c r="D784" s="76"/>
      <c r="E784" s="32"/>
      <c r="F784" s="57"/>
      <c r="G784" s="57"/>
    </row>
    <row r="785" spans="3:7" ht="12.75" customHeight="1" x14ac:dyDescent="0.2">
      <c r="C785" s="32"/>
      <c r="D785" s="76"/>
      <c r="E785" s="32"/>
      <c r="F785" s="57"/>
      <c r="G785" s="57"/>
    </row>
    <row r="786" spans="3:7" ht="12.75" customHeight="1" x14ac:dyDescent="0.2">
      <c r="C786" s="32"/>
      <c r="D786" s="76"/>
      <c r="E786" s="32"/>
      <c r="F786" s="57"/>
      <c r="G786" s="57"/>
    </row>
    <row r="787" spans="3:7" ht="12.75" customHeight="1" x14ac:dyDescent="0.2">
      <c r="C787" s="32"/>
      <c r="D787" s="76"/>
      <c r="E787" s="32"/>
      <c r="F787" s="57"/>
      <c r="G787" s="57"/>
    </row>
    <row r="788" spans="3:7" ht="12.75" customHeight="1" x14ac:dyDescent="0.2">
      <c r="C788" s="32"/>
      <c r="D788" s="76"/>
      <c r="E788" s="32"/>
      <c r="F788" s="57"/>
      <c r="G788" s="57"/>
    </row>
    <row r="789" spans="3:7" ht="12.75" customHeight="1" x14ac:dyDescent="0.2">
      <c r="C789" s="32"/>
      <c r="D789" s="76"/>
      <c r="E789" s="32"/>
      <c r="F789" s="57"/>
      <c r="G789" s="57"/>
    </row>
    <row r="790" spans="3:7" ht="12.75" customHeight="1" x14ac:dyDescent="0.2">
      <c r="C790" s="32"/>
      <c r="D790" s="76"/>
      <c r="E790" s="32"/>
      <c r="F790" s="57"/>
      <c r="G790" s="57"/>
    </row>
    <row r="791" spans="3:7" ht="12.75" customHeight="1" x14ac:dyDescent="0.2">
      <c r="C791" s="32"/>
      <c r="D791" s="76"/>
      <c r="E791" s="32"/>
      <c r="F791" s="57"/>
      <c r="G791" s="57"/>
    </row>
    <row r="792" spans="3:7" ht="12.75" customHeight="1" x14ac:dyDescent="0.2">
      <c r="C792" s="32"/>
      <c r="D792" s="76"/>
      <c r="E792" s="32"/>
      <c r="F792" s="57"/>
      <c r="G792" s="57"/>
    </row>
    <row r="793" spans="3:7" ht="12.75" customHeight="1" x14ac:dyDescent="0.2">
      <c r="C793" s="32"/>
      <c r="D793" s="76"/>
      <c r="E793" s="32"/>
      <c r="F793" s="57"/>
      <c r="G793" s="57"/>
    </row>
    <row r="794" spans="3:7" ht="12.75" customHeight="1" x14ac:dyDescent="0.2">
      <c r="C794" s="32"/>
      <c r="D794" s="76"/>
      <c r="E794" s="32"/>
      <c r="F794" s="57"/>
      <c r="G794" s="57"/>
    </row>
    <row r="795" spans="3:7" ht="12.75" customHeight="1" x14ac:dyDescent="0.2">
      <c r="C795" s="32"/>
      <c r="D795" s="76"/>
      <c r="E795" s="32"/>
      <c r="F795" s="57"/>
      <c r="G795" s="57"/>
    </row>
    <row r="796" spans="3:7" ht="12.75" customHeight="1" x14ac:dyDescent="0.2">
      <c r="C796" s="32"/>
      <c r="D796" s="76"/>
      <c r="E796" s="32"/>
      <c r="F796" s="57"/>
      <c r="G796" s="57"/>
    </row>
    <row r="797" spans="3:7" ht="12.75" customHeight="1" x14ac:dyDescent="0.2">
      <c r="C797" s="32"/>
      <c r="D797" s="76"/>
      <c r="E797" s="32"/>
      <c r="F797" s="57"/>
      <c r="G797" s="57"/>
    </row>
    <row r="798" spans="3:7" ht="12.75" customHeight="1" x14ac:dyDescent="0.2">
      <c r="C798" s="32"/>
      <c r="D798" s="76"/>
      <c r="E798" s="32"/>
      <c r="F798" s="57"/>
      <c r="G798" s="57"/>
    </row>
    <row r="799" spans="3:7" ht="12.75" customHeight="1" x14ac:dyDescent="0.2">
      <c r="C799" s="32"/>
      <c r="D799" s="76"/>
      <c r="E799" s="32"/>
      <c r="F799" s="57"/>
      <c r="G799" s="57"/>
    </row>
    <row r="800" spans="3:7" ht="12.75" customHeight="1" x14ac:dyDescent="0.2">
      <c r="C800" s="32"/>
      <c r="D800" s="76"/>
      <c r="E800" s="32"/>
      <c r="F800" s="57"/>
      <c r="G800" s="57"/>
    </row>
    <row r="801" spans="3:7" ht="12.75" customHeight="1" x14ac:dyDescent="0.2">
      <c r="C801" s="32"/>
      <c r="D801" s="76"/>
      <c r="E801" s="32"/>
      <c r="F801" s="57"/>
      <c r="G801" s="57"/>
    </row>
    <row r="802" spans="3:7" ht="12.75" customHeight="1" x14ac:dyDescent="0.2">
      <c r="C802" s="32"/>
      <c r="D802" s="76"/>
      <c r="E802" s="32"/>
      <c r="F802" s="57"/>
      <c r="G802" s="57"/>
    </row>
    <row r="803" spans="3:7" ht="12.75" customHeight="1" x14ac:dyDescent="0.2">
      <c r="C803" s="32"/>
      <c r="D803" s="76"/>
      <c r="E803" s="32"/>
      <c r="F803" s="57"/>
      <c r="G803" s="57"/>
    </row>
    <row r="804" spans="3:7" ht="12.75" customHeight="1" x14ac:dyDescent="0.2">
      <c r="C804" s="32"/>
      <c r="D804" s="76"/>
      <c r="E804" s="32"/>
      <c r="F804" s="57"/>
      <c r="G804" s="57"/>
    </row>
    <row r="805" spans="3:7" ht="12.75" customHeight="1" x14ac:dyDescent="0.2">
      <c r="C805" s="32"/>
      <c r="D805" s="76"/>
      <c r="E805" s="32"/>
      <c r="F805" s="57"/>
      <c r="G805" s="57"/>
    </row>
    <row r="806" spans="3:7" ht="12.75" customHeight="1" x14ac:dyDescent="0.2">
      <c r="C806" s="32"/>
      <c r="D806" s="76"/>
      <c r="E806" s="32"/>
      <c r="F806" s="57"/>
      <c r="G806" s="57"/>
    </row>
    <row r="807" spans="3:7" ht="12.75" customHeight="1" x14ac:dyDescent="0.2">
      <c r="C807" s="32"/>
      <c r="D807" s="76"/>
      <c r="E807" s="32"/>
      <c r="F807" s="57"/>
      <c r="G807" s="57"/>
    </row>
    <row r="808" spans="3:7" ht="12.75" customHeight="1" x14ac:dyDescent="0.2">
      <c r="C808" s="32"/>
      <c r="D808" s="76"/>
      <c r="E808" s="32"/>
      <c r="F808" s="57"/>
      <c r="G808" s="57"/>
    </row>
    <row r="809" spans="3:7" ht="12.75" customHeight="1" x14ac:dyDescent="0.2">
      <c r="C809" s="32"/>
      <c r="D809" s="76"/>
      <c r="E809" s="32"/>
      <c r="F809" s="57"/>
      <c r="G809" s="57"/>
    </row>
    <row r="810" spans="3:7" ht="12.75" customHeight="1" x14ac:dyDescent="0.2">
      <c r="C810" s="32"/>
      <c r="D810" s="76"/>
      <c r="E810" s="32"/>
      <c r="F810" s="57"/>
      <c r="G810" s="57"/>
    </row>
    <row r="811" spans="3:7" ht="12.75" customHeight="1" x14ac:dyDescent="0.2">
      <c r="C811" s="32"/>
      <c r="D811" s="76"/>
      <c r="E811" s="32"/>
      <c r="F811" s="57"/>
      <c r="G811" s="57"/>
    </row>
    <row r="812" spans="3:7" ht="12.75" customHeight="1" x14ac:dyDescent="0.2">
      <c r="C812" s="32"/>
      <c r="D812" s="76"/>
      <c r="E812" s="32"/>
      <c r="F812" s="57"/>
      <c r="G812" s="57"/>
    </row>
    <row r="813" spans="3:7" ht="12.75" customHeight="1" x14ac:dyDescent="0.2">
      <c r="C813" s="32"/>
      <c r="D813" s="76"/>
      <c r="E813" s="32"/>
      <c r="F813" s="57"/>
      <c r="G813" s="57"/>
    </row>
    <row r="814" spans="3:7" ht="12.75" customHeight="1" x14ac:dyDescent="0.2">
      <c r="C814" s="32"/>
      <c r="D814" s="76"/>
      <c r="E814" s="32"/>
      <c r="F814" s="57"/>
      <c r="G814" s="57"/>
    </row>
    <row r="815" spans="3:7" ht="12.75" customHeight="1" x14ac:dyDescent="0.2">
      <c r="C815" s="32"/>
      <c r="D815" s="76"/>
      <c r="E815" s="32"/>
      <c r="F815" s="57"/>
      <c r="G815" s="57"/>
    </row>
    <row r="816" spans="3:7" ht="12.75" customHeight="1" x14ac:dyDescent="0.2">
      <c r="C816" s="32"/>
      <c r="D816" s="76"/>
      <c r="E816" s="32"/>
      <c r="F816" s="57"/>
      <c r="G816" s="57"/>
    </row>
    <row r="817" spans="3:7" ht="12.75" customHeight="1" x14ac:dyDescent="0.2">
      <c r="C817" s="32"/>
      <c r="D817" s="76"/>
      <c r="E817" s="32"/>
      <c r="F817" s="57"/>
      <c r="G817" s="57"/>
    </row>
    <row r="818" spans="3:7" ht="12.75" customHeight="1" x14ac:dyDescent="0.2">
      <c r="C818" s="32"/>
      <c r="D818" s="76"/>
      <c r="E818" s="32"/>
      <c r="F818" s="57"/>
      <c r="G818" s="57"/>
    </row>
    <row r="819" spans="3:7" ht="12.75" customHeight="1" x14ac:dyDescent="0.2">
      <c r="C819" s="32"/>
      <c r="D819" s="76"/>
      <c r="E819" s="32"/>
      <c r="F819" s="57"/>
      <c r="G819" s="57"/>
    </row>
    <row r="820" spans="3:7" ht="12.75" customHeight="1" x14ac:dyDescent="0.2">
      <c r="C820" s="32"/>
      <c r="D820" s="76"/>
      <c r="E820" s="32"/>
      <c r="F820" s="57"/>
      <c r="G820" s="57"/>
    </row>
    <row r="821" spans="3:7" ht="12.75" customHeight="1" x14ac:dyDescent="0.2">
      <c r="C821" s="32"/>
      <c r="D821" s="76"/>
      <c r="E821" s="32"/>
      <c r="F821" s="57"/>
      <c r="G821" s="57"/>
    </row>
    <row r="822" spans="3:7" ht="12.75" customHeight="1" x14ac:dyDescent="0.2">
      <c r="C822" s="32"/>
      <c r="D822" s="76"/>
      <c r="E822" s="32"/>
      <c r="F822" s="57"/>
      <c r="G822" s="57"/>
    </row>
    <row r="823" spans="3:7" ht="12.75" customHeight="1" x14ac:dyDescent="0.2">
      <c r="C823" s="32"/>
      <c r="D823" s="76"/>
      <c r="E823" s="32"/>
      <c r="F823" s="57"/>
      <c r="G823" s="57"/>
    </row>
    <row r="824" spans="3:7" ht="12.75" customHeight="1" x14ac:dyDescent="0.2">
      <c r="C824" s="32"/>
      <c r="D824" s="76"/>
      <c r="E824" s="32"/>
      <c r="F824" s="57"/>
      <c r="G824" s="57"/>
    </row>
    <row r="825" spans="3:7" ht="12.75" customHeight="1" x14ac:dyDescent="0.2">
      <c r="C825" s="32"/>
      <c r="D825" s="76"/>
      <c r="E825" s="32"/>
      <c r="F825" s="57"/>
      <c r="G825" s="57"/>
    </row>
    <row r="826" spans="3:7" ht="12.75" customHeight="1" x14ac:dyDescent="0.2">
      <c r="C826" s="32"/>
      <c r="D826" s="76"/>
      <c r="E826" s="32"/>
      <c r="F826" s="57"/>
      <c r="G826" s="57"/>
    </row>
    <row r="827" spans="3:7" ht="12.75" customHeight="1" x14ac:dyDescent="0.2">
      <c r="C827" s="32"/>
      <c r="D827" s="76"/>
      <c r="E827" s="32"/>
      <c r="F827" s="57"/>
      <c r="G827" s="57"/>
    </row>
    <row r="828" spans="3:7" ht="12.75" customHeight="1" x14ac:dyDescent="0.2">
      <c r="C828" s="32"/>
      <c r="D828" s="76"/>
      <c r="E828" s="32"/>
      <c r="F828" s="57"/>
      <c r="G828" s="57"/>
    </row>
    <row r="829" spans="3:7" ht="12.75" customHeight="1" x14ac:dyDescent="0.2">
      <c r="C829" s="32"/>
      <c r="D829" s="76"/>
      <c r="E829" s="32"/>
      <c r="F829" s="57"/>
      <c r="G829" s="57"/>
    </row>
    <row r="830" spans="3:7" ht="12.75" customHeight="1" x14ac:dyDescent="0.2">
      <c r="C830" s="32"/>
      <c r="D830" s="76"/>
      <c r="E830" s="32"/>
      <c r="F830" s="57"/>
      <c r="G830" s="57"/>
    </row>
    <row r="831" spans="3:7" ht="12.75" customHeight="1" x14ac:dyDescent="0.2">
      <c r="C831" s="32"/>
      <c r="D831" s="76"/>
      <c r="E831" s="32"/>
      <c r="F831" s="57"/>
      <c r="G831" s="57"/>
    </row>
    <row r="832" spans="3:7" ht="12.75" customHeight="1" x14ac:dyDescent="0.2">
      <c r="C832" s="32"/>
      <c r="D832" s="76"/>
      <c r="E832" s="32"/>
      <c r="F832" s="57"/>
      <c r="G832" s="57"/>
    </row>
    <row r="833" spans="3:7" ht="12.75" customHeight="1" x14ac:dyDescent="0.2">
      <c r="C833" s="32"/>
      <c r="D833" s="76"/>
      <c r="E833" s="32"/>
      <c r="F833" s="57"/>
      <c r="G833" s="57"/>
    </row>
    <row r="834" spans="3:7" ht="12.75" customHeight="1" x14ac:dyDescent="0.2">
      <c r="C834" s="32"/>
      <c r="D834" s="76"/>
      <c r="E834" s="32"/>
      <c r="F834" s="57"/>
      <c r="G834" s="57"/>
    </row>
    <row r="835" spans="3:7" ht="12.75" customHeight="1" x14ac:dyDescent="0.2">
      <c r="C835" s="32"/>
      <c r="D835" s="76"/>
      <c r="E835" s="32"/>
      <c r="F835" s="57"/>
      <c r="G835" s="57"/>
    </row>
    <row r="836" spans="3:7" ht="12.75" customHeight="1" x14ac:dyDescent="0.2">
      <c r="C836" s="32"/>
      <c r="D836" s="76"/>
      <c r="E836" s="32"/>
      <c r="F836" s="57"/>
      <c r="G836" s="57"/>
    </row>
    <row r="837" spans="3:7" ht="12.75" customHeight="1" x14ac:dyDescent="0.2">
      <c r="C837" s="32"/>
      <c r="D837" s="76"/>
      <c r="E837" s="32"/>
      <c r="F837" s="57"/>
      <c r="G837" s="57"/>
    </row>
    <row r="838" spans="3:7" ht="12.75" customHeight="1" x14ac:dyDescent="0.2">
      <c r="C838" s="32"/>
      <c r="D838" s="76"/>
      <c r="E838" s="32"/>
      <c r="F838" s="57"/>
      <c r="G838" s="57"/>
    </row>
    <row r="839" spans="3:7" ht="12.75" customHeight="1" x14ac:dyDescent="0.2">
      <c r="C839" s="32"/>
      <c r="D839" s="76"/>
      <c r="E839" s="32"/>
      <c r="F839" s="57"/>
      <c r="G839" s="57"/>
    </row>
    <row r="840" spans="3:7" ht="12.75" customHeight="1" x14ac:dyDescent="0.2">
      <c r="C840" s="32"/>
      <c r="D840" s="76"/>
      <c r="E840" s="32"/>
      <c r="F840" s="57"/>
      <c r="G840" s="57"/>
    </row>
    <row r="841" spans="3:7" ht="12.75" customHeight="1" x14ac:dyDescent="0.2">
      <c r="C841" s="32"/>
      <c r="D841" s="76"/>
      <c r="E841" s="32"/>
      <c r="F841" s="57"/>
      <c r="G841" s="57"/>
    </row>
    <row r="842" spans="3:7" ht="12.75" customHeight="1" x14ac:dyDescent="0.2">
      <c r="C842" s="32"/>
      <c r="D842" s="76"/>
      <c r="E842" s="32"/>
      <c r="F842" s="57"/>
      <c r="G842" s="57"/>
    </row>
    <row r="843" spans="3:7" ht="12.75" customHeight="1" x14ac:dyDescent="0.2">
      <c r="C843" s="32"/>
      <c r="D843" s="76"/>
      <c r="E843" s="32"/>
      <c r="F843" s="57"/>
      <c r="G843" s="57"/>
    </row>
    <row r="844" spans="3:7" ht="12.75" customHeight="1" x14ac:dyDescent="0.2">
      <c r="C844" s="32"/>
      <c r="D844" s="76"/>
      <c r="E844" s="32"/>
      <c r="F844" s="57"/>
      <c r="G844" s="57"/>
    </row>
    <row r="845" spans="3:7" ht="12.75" customHeight="1" x14ac:dyDescent="0.2">
      <c r="C845" s="32"/>
      <c r="D845" s="76"/>
      <c r="E845" s="32"/>
      <c r="F845" s="57"/>
      <c r="G845" s="57"/>
    </row>
    <row r="846" spans="3:7" ht="12.75" customHeight="1" x14ac:dyDescent="0.2">
      <c r="C846" s="32"/>
      <c r="D846" s="76"/>
      <c r="E846" s="32"/>
      <c r="F846" s="57"/>
      <c r="G846" s="57"/>
    </row>
    <row r="847" spans="3:7" ht="12.75" customHeight="1" x14ac:dyDescent="0.2">
      <c r="C847" s="32"/>
      <c r="D847" s="76"/>
      <c r="E847" s="32"/>
      <c r="F847" s="57"/>
      <c r="G847" s="57"/>
    </row>
    <row r="848" spans="3:7" ht="12.75" customHeight="1" x14ac:dyDescent="0.2">
      <c r="C848" s="32"/>
      <c r="D848" s="76"/>
      <c r="E848" s="32"/>
      <c r="F848" s="57"/>
      <c r="G848" s="57"/>
    </row>
    <row r="849" spans="3:7" ht="12.75" customHeight="1" x14ac:dyDescent="0.2">
      <c r="C849" s="32"/>
      <c r="D849" s="76"/>
      <c r="E849" s="32"/>
      <c r="F849" s="57"/>
      <c r="G849" s="57"/>
    </row>
    <row r="850" spans="3:7" ht="12.75" customHeight="1" x14ac:dyDescent="0.2">
      <c r="C850" s="32"/>
      <c r="D850" s="76"/>
      <c r="E850" s="32"/>
      <c r="F850" s="57"/>
      <c r="G850" s="57"/>
    </row>
    <row r="851" spans="3:7" ht="12.75" customHeight="1" x14ac:dyDescent="0.2">
      <c r="C851" s="32"/>
      <c r="D851" s="76"/>
      <c r="E851" s="32"/>
      <c r="F851" s="57"/>
      <c r="G851" s="57"/>
    </row>
    <row r="852" spans="3:7" ht="12.75" customHeight="1" x14ac:dyDescent="0.2">
      <c r="C852" s="32"/>
      <c r="D852" s="76"/>
      <c r="E852" s="32"/>
      <c r="F852" s="57"/>
      <c r="G852" s="57"/>
    </row>
    <row r="853" spans="3:7" ht="12.75" customHeight="1" x14ac:dyDescent="0.2">
      <c r="C853" s="32"/>
      <c r="D853" s="76"/>
      <c r="E853" s="32"/>
      <c r="F853" s="57"/>
      <c r="G853" s="57"/>
    </row>
    <row r="854" spans="3:7" ht="12.75" customHeight="1" x14ac:dyDescent="0.2">
      <c r="C854" s="32"/>
      <c r="D854" s="76"/>
      <c r="E854" s="32"/>
      <c r="F854" s="57"/>
      <c r="G854" s="57"/>
    </row>
    <row r="855" spans="3:7" ht="12.75" customHeight="1" x14ac:dyDescent="0.2">
      <c r="C855" s="32"/>
      <c r="D855" s="76"/>
      <c r="E855" s="32"/>
      <c r="F855" s="57"/>
      <c r="G855" s="57"/>
    </row>
    <row r="856" spans="3:7" ht="12.75" customHeight="1" x14ac:dyDescent="0.2">
      <c r="C856" s="32"/>
      <c r="D856" s="76"/>
      <c r="E856" s="32"/>
      <c r="F856" s="57"/>
      <c r="G856" s="57"/>
    </row>
    <row r="857" spans="3:7" ht="12.75" customHeight="1" x14ac:dyDescent="0.2">
      <c r="C857" s="32"/>
      <c r="D857" s="76"/>
      <c r="E857" s="32"/>
      <c r="F857" s="57"/>
      <c r="G857" s="57"/>
    </row>
    <row r="858" spans="3:7" ht="12.75" customHeight="1" x14ac:dyDescent="0.2">
      <c r="C858" s="32"/>
      <c r="D858" s="76"/>
      <c r="E858" s="32"/>
      <c r="F858" s="57"/>
      <c r="G858" s="57"/>
    </row>
    <row r="859" spans="3:7" ht="12.75" customHeight="1" x14ac:dyDescent="0.2">
      <c r="C859" s="32"/>
      <c r="D859" s="76"/>
      <c r="E859" s="32"/>
      <c r="F859" s="57"/>
      <c r="G859" s="57"/>
    </row>
    <row r="860" spans="3:7" ht="12.75" customHeight="1" x14ac:dyDescent="0.2">
      <c r="C860" s="32"/>
      <c r="D860" s="76"/>
      <c r="E860" s="32"/>
      <c r="F860" s="57"/>
      <c r="G860" s="57"/>
    </row>
    <row r="861" spans="3:7" ht="12.75" customHeight="1" x14ac:dyDescent="0.2">
      <c r="C861" s="32"/>
      <c r="D861" s="76"/>
      <c r="E861" s="32"/>
      <c r="F861" s="57"/>
      <c r="G861" s="57"/>
    </row>
    <row r="862" spans="3:7" ht="12.75" customHeight="1" x14ac:dyDescent="0.2">
      <c r="C862" s="32"/>
      <c r="D862" s="76"/>
      <c r="E862" s="32"/>
      <c r="F862" s="57"/>
      <c r="G862" s="57"/>
    </row>
    <row r="863" spans="3:7" ht="12.75" customHeight="1" x14ac:dyDescent="0.2">
      <c r="C863" s="32"/>
      <c r="D863" s="76"/>
      <c r="E863" s="32"/>
      <c r="F863" s="57"/>
      <c r="G863" s="57"/>
    </row>
    <row r="864" spans="3:7" ht="12.75" customHeight="1" x14ac:dyDescent="0.2">
      <c r="C864" s="32"/>
      <c r="D864" s="76"/>
      <c r="E864" s="32"/>
      <c r="F864" s="57"/>
      <c r="G864" s="57"/>
    </row>
    <row r="865" spans="3:7" ht="12.75" customHeight="1" x14ac:dyDescent="0.2">
      <c r="C865" s="32"/>
      <c r="D865" s="76"/>
      <c r="E865" s="32"/>
      <c r="F865" s="57"/>
      <c r="G865" s="57"/>
    </row>
    <row r="866" spans="3:7" ht="12.75" customHeight="1" x14ac:dyDescent="0.2">
      <c r="C866" s="32"/>
      <c r="D866" s="76"/>
      <c r="E866" s="32"/>
      <c r="F866" s="57"/>
      <c r="G866" s="57"/>
    </row>
    <row r="867" spans="3:7" ht="12.75" customHeight="1" x14ac:dyDescent="0.2">
      <c r="C867" s="32"/>
      <c r="D867" s="76"/>
      <c r="E867" s="32"/>
      <c r="F867" s="57"/>
      <c r="G867" s="57"/>
    </row>
    <row r="868" spans="3:7" ht="12.75" customHeight="1" x14ac:dyDescent="0.2">
      <c r="C868" s="32"/>
      <c r="D868" s="76"/>
      <c r="E868" s="32"/>
      <c r="F868" s="57"/>
      <c r="G868" s="57"/>
    </row>
    <row r="869" spans="3:7" ht="12.75" customHeight="1" x14ac:dyDescent="0.2">
      <c r="C869" s="32"/>
      <c r="D869" s="76"/>
      <c r="E869" s="32"/>
      <c r="F869" s="57"/>
      <c r="G869" s="57"/>
    </row>
    <row r="870" spans="3:7" ht="12.75" customHeight="1" x14ac:dyDescent="0.2">
      <c r="C870" s="32"/>
      <c r="D870" s="76"/>
      <c r="E870" s="32"/>
      <c r="F870" s="57"/>
      <c r="G870" s="57"/>
    </row>
    <row r="871" spans="3:7" ht="12.75" customHeight="1" x14ac:dyDescent="0.2">
      <c r="C871" s="32"/>
      <c r="D871" s="76"/>
      <c r="E871" s="32"/>
      <c r="F871" s="57"/>
      <c r="G871" s="57"/>
    </row>
    <row r="872" spans="3:7" ht="12.75" customHeight="1" x14ac:dyDescent="0.2">
      <c r="C872" s="32"/>
      <c r="D872" s="76"/>
      <c r="E872" s="32"/>
      <c r="F872" s="57"/>
      <c r="G872" s="57"/>
    </row>
    <row r="873" spans="3:7" ht="12.75" customHeight="1" x14ac:dyDescent="0.2">
      <c r="C873" s="32"/>
      <c r="D873" s="76"/>
      <c r="E873" s="32"/>
      <c r="F873" s="57"/>
      <c r="G873" s="57"/>
    </row>
    <row r="874" spans="3:7" ht="12.75" customHeight="1" x14ac:dyDescent="0.2">
      <c r="C874" s="32"/>
      <c r="D874" s="76"/>
      <c r="E874" s="32"/>
      <c r="F874" s="57"/>
      <c r="G874" s="57"/>
    </row>
    <row r="875" spans="3:7" ht="12.75" customHeight="1" x14ac:dyDescent="0.2">
      <c r="C875" s="32"/>
      <c r="D875" s="76"/>
      <c r="E875" s="32"/>
      <c r="F875" s="57"/>
      <c r="G875" s="57"/>
    </row>
    <row r="876" spans="3:7" ht="12.75" customHeight="1" x14ac:dyDescent="0.2">
      <c r="C876" s="32"/>
      <c r="D876" s="76"/>
      <c r="E876" s="32"/>
      <c r="F876" s="57"/>
      <c r="G876" s="57"/>
    </row>
    <row r="877" spans="3:7" ht="12.75" customHeight="1" x14ac:dyDescent="0.2">
      <c r="C877" s="32"/>
      <c r="D877" s="76"/>
      <c r="E877" s="32"/>
      <c r="F877" s="57"/>
      <c r="G877" s="57"/>
    </row>
    <row r="878" spans="3:7" ht="12.75" customHeight="1" x14ac:dyDescent="0.2">
      <c r="C878" s="32"/>
      <c r="D878" s="76"/>
      <c r="E878" s="32"/>
      <c r="F878" s="57"/>
      <c r="G878" s="57"/>
    </row>
    <row r="879" spans="3:7" ht="12.75" customHeight="1" x14ac:dyDescent="0.2">
      <c r="C879" s="32"/>
      <c r="D879" s="76"/>
      <c r="E879" s="32"/>
      <c r="F879" s="57"/>
      <c r="G879" s="57"/>
    </row>
    <row r="880" spans="3:7" ht="12.75" customHeight="1" x14ac:dyDescent="0.2">
      <c r="C880" s="32"/>
      <c r="D880" s="76"/>
      <c r="E880" s="32"/>
      <c r="F880" s="57"/>
      <c r="G880" s="57"/>
    </row>
    <row r="881" spans="3:7" ht="12.75" customHeight="1" x14ac:dyDescent="0.2">
      <c r="C881" s="32"/>
      <c r="D881" s="76"/>
      <c r="E881" s="32"/>
      <c r="F881" s="57"/>
      <c r="G881" s="57"/>
    </row>
    <row r="882" spans="3:7" ht="12.75" customHeight="1" x14ac:dyDescent="0.2">
      <c r="C882" s="32"/>
      <c r="D882" s="76"/>
      <c r="E882" s="32"/>
      <c r="F882" s="57"/>
      <c r="G882" s="57"/>
    </row>
    <row r="883" spans="3:7" ht="12.75" customHeight="1" x14ac:dyDescent="0.2">
      <c r="C883" s="32"/>
      <c r="D883" s="76"/>
      <c r="E883" s="32"/>
      <c r="F883" s="57"/>
      <c r="G883" s="57"/>
    </row>
    <row r="884" spans="3:7" ht="12.75" customHeight="1" x14ac:dyDescent="0.2">
      <c r="C884" s="32"/>
      <c r="D884" s="76"/>
      <c r="E884" s="32"/>
      <c r="F884" s="57"/>
      <c r="G884" s="57"/>
    </row>
    <row r="885" spans="3:7" ht="12.75" customHeight="1" x14ac:dyDescent="0.2">
      <c r="C885" s="32"/>
      <c r="D885" s="76"/>
      <c r="E885" s="32"/>
      <c r="F885" s="57"/>
      <c r="G885" s="57"/>
    </row>
    <row r="886" spans="3:7" ht="12.75" customHeight="1" x14ac:dyDescent="0.2">
      <c r="C886" s="32"/>
      <c r="D886" s="76"/>
      <c r="E886" s="32"/>
      <c r="F886" s="57"/>
      <c r="G886" s="57"/>
    </row>
    <row r="887" spans="3:7" ht="12.75" customHeight="1" x14ac:dyDescent="0.2">
      <c r="C887" s="32"/>
      <c r="D887" s="76"/>
      <c r="E887" s="32"/>
      <c r="F887" s="57"/>
      <c r="G887" s="57"/>
    </row>
    <row r="888" spans="3:7" ht="12.75" customHeight="1" x14ac:dyDescent="0.2">
      <c r="C888" s="32"/>
      <c r="D888" s="76"/>
      <c r="E888" s="32"/>
      <c r="F888" s="57"/>
      <c r="G888" s="57"/>
    </row>
    <row r="889" spans="3:7" ht="12.75" customHeight="1" x14ac:dyDescent="0.2">
      <c r="C889" s="32"/>
      <c r="D889" s="76"/>
      <c r="E889" s="32"/>
      <c r="F889" s="57"/>
      <c r="G889" s="57"/>
    </row>
    <row r="890" spans="3:7" ht="12.75" customHeight="1" x14ac:dyDescent="0.2">
      <c r="C890" s="32"/>
      <c r="D890" s="76"/>
      <c r="E890" s="32"/>
      <c r="F890" s="57"/>
      <c r="G890" s="57"/>
    </row>
    <row r="891" spans="3:7" ht="12.75" customHeight="1" x14ac:dyDescent="0.2">
      <c r="C891" s="32"/>
      <c r="D891" s="76"/>
      <c r="E891" s="32"/>
      <c r="F891" s="57"/>
      <c r="G891" s="57"/>
    </row>
    <row r="892" spans="3:7" ht="12.75" customHeight="1" x14ac:dyDescent="0.2">
      <c r="C892" s="32"/>
      <c r="D892" s="76"/>
      <c r="E892" s="32"/>
      <c r="F892" s="57"/>
      <c r="G892" s="57"/>
    </row>
    <row r="893" spans="3:7" ht="12.75" customHeight="1" x14ac:dyDescent="0.2">
      <c r="C893" s="32"/>
      <c r="D893" s="76"/>
      <c r="E893" s="32"/>
      <c r="F893" s="57"/>
      <c r="G893" s="57"/>
    </row>
    <row r="894" spans="3:7" ht="12.75" customHeight="1" x14ac:dyDescent="0.2">
      <c r="C894" s="32"/>
      <c r="D894" s="76"/>
      <c r="E894" s="32"/>
      <c r="F894" s="57"/>
      <c r="G894" s="57"/>
    </row>
    <row r="895" spans="3:7" ht="12.75" customHeight="1" x14ac:dyDescent="0.2">
      <c r="C895" s="32"/>
      <c r="D895" s="76"/>
      <c r="E895" s="32"/>
      <c r="F895" s="57"/>
      <c r="G895" s="57"/>
    </row>
    <row r="896" spans="3:7" ht="12.75" customHeight="1" x14ac:dyDescent="0.2">
      <c r="C896" s="32"/>
      <c r="D896" s="76"/>
      <c r="E896" s="32"/>
      <c r="F896" s="57"/>
      <c r="G896" s="57"/>
    </row>
    <row r="897" spans="3:7" ht="12.75" customHeight="1" x14ac:dyDescent="0.2">
      <c r="C897" s="32"/>
      <c r="D897" s="76"/>
      <c r="E897" s="32"/>
      <c r="F897" s="57"/>
      <c r="G897" s="57"/>
    </row>
    <row r="898" spans="3:7" ht="12.75" customHeight="1" x14ac:dyDescent="0.2">
      <c r="C898" s="32"/>
      <c r="D898" s="76"/>
      <c r="E898" s="32"/>
      <c r="F898" s="57"/>
      <c r="G898" s="57"/>
    </row>
    <row r="899" spans="3:7" ht="12.75" customHeight="1" x14ac:dyDescent="0.2">
      <c r="C899" s="32"/>
      <c r="D899" s="76"/>
      <c r="E899" s="32"/>
      <c r="F899" s="57"/>
      <c r="G899" s="57"/>
    </row>
    <row r="900" spans="3:7" ht="12.75" customHeight="1" x14ac:dyDescent="0.2">
      <c r="C900" s="32"/>
      <c r="D900" s="76"/>
      <c r="E900" s="32"/>
      <c r="F900" s="57"/>
      <c r="G900" s="57"/>
    </row>
    <row r="901" spans="3:7" ht="12.75" customHeight="1" x14ac:dyDescent="0.2">
      <c r="C901" s="32"/>
      <c r="D901" s="76"/>
      <c r="E901" s="32"/>
      <c r="F901" s="57"/>
      <c r="G901" s="57"/>
    </row>
    <row r="902" spans="3:7" ht="12.75" customHeight="1" x14ac:dyDescent="0.2">
      <c r="C902" s="32"/>
      <c r="D902" s="76"/>
      <c r="E902" s="32"/>
      <c r="F902" s="57"/>
      <c r="G902" s="57"/>
    </row>
    <row r="903" spans="3:7" ht="12.75" customHeight="1" x14ac:dyDescent="0.2">
      <c r="C903" s="32"/>
      <c r="D903" s="76"/>
      <c r="E903" s="32"/>
      <c r="F903" s="57"/>
      <c r="G903" s="57"/>
    </row>
    <row r="904" spans="3:7" ht="12.75" customHeight="1" x14ac:dyDescent="0.2">
      <c r="C904" s="32"/>
      <c r="D904" s="76"/>
      <c r="E904" s="32"/>
      <c r="F904" s="57"/>
      <c r="G904" s="57"/>
    </row>
    <row r="905" spans="3:7" ht="12.75" customHeight="1" x14ac:dyDescent="0.2">
      <c r="C905" s="32"/>
      <c r="D905" s="76"/>
      <c r="E905" s="32"/>
      <c r="F905" s="57"/>
      <c r="G905" s="57"/>
    </row>
    <row r="906" spans="3:7" ht="12.75" customHeight="1" x14ac:dyDescent="0.2">
      <c r="C906" s="32"/>
      <c r="D906" s="76"/>
      <c r="E906" s="32"/>
      <c r="F906" s="57"/>
      <c r="G906" s="57"/>
    </row>
    <row r="907" spans="3:7" ht="12.75" customHeight="1" x14ac:dyDescent="0.2">
      <c r="C907" s="32"/>
      <c r="D907" s="76"/>
      <c r="E907" s="32"/>
      <c r="F907" s="57"/>
      <c r="G907" s="57"/>
    </row>
    <row r="908" spans="3:7" ht="12.75" customHeight="1" x14ac:dyDescent="0.2">
      <c r="C908" s="32"/>
      <c r="D908" s="76"/>
      <c r="E908" s="32"/>
      <c r="F908" s="57"/>
      <c r="G908" s="57"/>
    </row>
    <row r="909" spans="3:7" ht="12.75" customHeight="1" x14ac:dyDescent="0.2">
      <c r="C909" s="32"/>
      <c r="D909" s="76"/>
      <c r="E909" s="32"/>
      <c r="F909" s="57"/>
      <c r="G909" s="57"/>
    </row>
    <row r="910" spans="3:7" ht="12.75" customHeight="1" x14ac:dyDescent="0.2">
      <c r="C910" s="32"/>
      <c r="D910" s="76"/>
      <c r="E910" s="32"/>
      <c r="F910" s="57"/>
      <c r="G910" s="57"/>
    </row>
    <row r="911" spans="3:7" ht="12.75" customHeight="1" x14ac:dyDescent="0.2">
      <c r="C911" s="32"/>
      <c r="D911" s="76"/>
      <c r="E911" s="32"/>
      <c r="F911" s="57"/>
      <c r="G911" s="57"/>
    </row>
    <row r="912" spans="3:7" ht="12.75" customHeight="1" x14ac:dyDescent="0.2">
      <c r="C912" s="32"/>
      <c r="D912" s="76"/>
      <c r="E912" s="32"/>
      <c r="F912" s="57"/>
      <c r="G912" s="57"/>
    </row>
    <row r="913" spans="3:7" ht="12.75" customHeight="1" x14ac:dyDescent="0.2">
      <c r="C913" s="32"/>
      <c r="D913" s="76"/>
      <c r="E913" s="32"/>
      <c r="F913" s="57"/>
      <c r="G913" s="57"/>
    </row>
    <row r="914" spans="3:7" ht="12.75" customHeight="1" x14ac:dyDescent="0.2">
      <c r="C914" s="32"/>
      <c r="D914" s="76"/>
      <c r="E914" s="32"/>
      <c r="F914" s="57"/>
      <c r="G914" s="57"/>
    </row>
    <row r="915" spans="3:7" ht="12.75" customHeight="1" x14ac:dyDescent="0.2">
      <c r="C915" s="32"/>
      <c r="D915" s="76"/>
      <c r="E915" s="32"/>
      <c r="F915" s="57"/>
      <c r="G915" s="57"/>
    </row>
    <row r="916" spans="3:7" ht="12.75" customHeight="1" x14ac:dyDescent="0.2">
      <c r="C916" s="32"/>
      <c r="D916" s="76"/>
      <c r="E916" s="32"/>
      <c r="F916" s="57"/>
      <c r="G916" s="57"/>
    </row>
    <row r="917" spans="3:7" ht="12.75" customHeight="1" x14ac:dyDescent="0.2">
      <c r="C917" s="32"/>
      <c r="D917" s="76"/>
      <c r="E917" s="32"/>
      <c r="F917" s="57"/>
      <c r="G917" s="57"/>
    </row>
    <row r="918" spans="3:7" ht="12.75" customHeight="1" x14ac:dyDescent="0.2">
      <c r="C918" s="32"/>
      <c r="D918" s="76"/>
      <c r="E918" s="32"/>
      <c r="F918" s="57"/>
      <c r="G918" s="57"/>
    </row>
    <row r="919" spans="3:7" ht="12.75" customHeight="1" x14ac:dyDescent="0.2">
      <c r="C919" s="32"/>
      <c r="D919" s="76"/>
      <c r="E919" s="32"/>
      <c r="F919" s="57"/>
      <c r="G919" s="57"/>
    </row>
    <row r="920" spans="3:7" ht="12.75" customHeight="1" x14ac:dyDescent="0.2">
      <c r="C920" s="32"/>
      <c r="D920" s="76"/>
      <c r="E920" s="32"/>
      <c r="F920" s="57"/>
      <c r="G920" s="57"/>
    </row>
    <row r="921" spans="3:7" ht="12.75" customHeight="1" x14ac:dyDescent="0.2">
      <c r="C921" s="32"/>
      <c r="D921" s="76"/>
      <c r="E921" s="32"/>
      <c r="F921" s="57"/>
      <c r="G921" s="57"/>
    </row>
    <row r="922" spans="3:7" ht="12.75" customHeight="1" x14ac:dyDescent="0.2">
      <c r="C922" s="32"/>
      <c r="D922" s="76"/>
      <c r="E922" s="32"/>
      <c r="F922" s="57"/>
      <c r="G922" s="57"/>
    </row>
    <row r="923" spans="3:7" ht="12.75" customHeight="1" x14ac:dyDescent="0.2">
      <c r="C923" s="32"/>
      <c r="D923" s="76"/>
      <c r="E923" s="32"/>
      <c r="F923" s="57"/>
      <c r="G923" s="57"/>
    </row>
    <row r="924" spans="3:7" ht="12.75" customHeight="1" x14ac:dyDescent="0.2">
      <c r="C924" s="32"/>
      <c r="D924" s="76"/>
      <c r="E924" s="32"/>
      <c r="F924" s="57"/>
      <c r="G924" s="57"/>
    </row>
    <row r="925" spans="3:7" ht="12.75" customHeight="1" x14ac:dyDescent="0.2">
      <c r="C925" s="32"/>
      <c r="D925" s="76"/>
      <c r="E925" s="32"/>
      <c r="F925" s="57"/>
      <c r="G925" s="57"/>
    </row>
    <row r="926" spans="3:7" ht="12.75" customHeight="1" x14ac:dyDescent="0.2">
      <c r="C926" s="32"/>
      <c r="D926" s="76"/>
      <c r="E926" s="32"/>
      <c r="F926" s="57"/>
      <c r="G926" s="57"/>
    </row>
    <row r="927" spans="3:7" ht="12.75" customHeight="1" x14ac:dyDescent="0.2">
      <c r="C927" s="32"/>
      <c r="D927" s="76"/>
      <c r="E927" s="32"/>
      <c r="F927" s="57"/>
      <c r="G927" s="57"/>
    </row>
    <row r="928" spans="3:7" ht="12.75" customHeight="1" x14ac:dyDescent="0.2">
      <c r="C928" s="32"/>
      <c r="D928" s="76"/>
      <c r="E928" s="32"/>
      <c r="F928" s="57"/>
      <c r="G928" s="57"/>
    </row>
    <row r="929" spans="3:7" ht="12.75" customHeight="1" x14ac:dyDescent="0.2">
      <c r="C929" s="32"/>
      <c r="D929" s="76"/>
      <c r="E929" s="32"/>
      <c r="F929" s="57"/>
      <c r="G929" s="57"/>
    </row>
    <row r="930" spans="3:7" ht="12.75" customHeight="1" x14ac:dyDescent="0.2">
      <c r="C930" s="32"/>
      <c r="D930" s="76"/>
      <c r="E930" s="32"/>
      <c r="F930" s="57"/>
      <c r="G930" s="57"/>
    </row>
    <row r="931" spans="3:7" ht="12.75" customHeight="1" x14ac:dyDescent="0.2">
      <c r="C931" s="32"/>
      <c r="D931" s="76"/>
      <c r="E931" s="32"/>
      <c r="F931" s="57"/>
      <c r="G931" s="57"/>
    </row>
    <row r="932" spans="3:7" ht="12.75" customHeight="1" x14ac:dyDescent="0.2">
      <c r="C932" s="32"/>
      <c r="D932" s="76"/>
      <c r="E932" s="32"/>
      <c r="F932" s="57"/>
      <c r="G932" s="57"/>
    </row>
    <row r="933" spans="3:7" ht="12.75" customHeight="1" x14ac:dyDescent="0.2">
      <c r="C933" s="32"/>
      <c r="D933" s="76"/>
      <c r="E933" s="32"/>
      <c r="F933" s="57"/>
      <c r="G933" s="57"/>
    </row>
    <row r="934" spans="3:7" ht="12.75" customHeight="1" x14ac:dyDescent="0.2">
      <c r="C934" s="32"/>
      <c r="D934" s="76"/>
      <c r="E934" s="32"/>
      <c r="F934" s="57"/>
      <c r="G934" s="57"/>
    </row>
    <row r="935" spans="3:7" ht="12.75" customHeight="1" x14ac:dyDescent="0.2">
      <c r="C935" s="32"/>
      <c r="D935" s="76"/>
      <c r="E935" s="32"/>
      <c r="F935" s="57"/>
      <c r="G935" s="57"/>
    </row>
    <row r="936" spans="3:7" ht="12.75" customHeight="1" x14ac:dyDescent="0.2">
      <c r="C936" s="32"/>
      <c r="D936" s="76"/>
      <c r="E936" s="32"/>
      <c r="F936" s="57"/>
      <c r="G936" s="57"/>
    </row>
    <row r="937" spans="3:7" ht="12.75" customHeight="1" x14ac:dyDescent="0.2">
      <c r="C937" s="32"/>
      <c r="D937" s="76"/>
      <c r="E937" s="32"/>
      <c r="F937" s="57"/>
      <c r="G937" s="57"/>
    </row>
    <row r="938" spans="3:7" ht="12.75" customHeight="1" x14ac:dyDescent="0.2">
      <c r="C938" s="32"/>
      <c r="D938" s="76"/>
      <c r="E938" s="32"/>
      <c r="F938" s="57"/>
      <c r="G938" s="57"/>
    </row>
    <row r="939" spans="3:7" ht="12.75" customHeight="1" x14ac:dyDescent="0.2">
      <c r="C939" s="32"/>
      <c r="D939" s="76"/>
      <c r="E939" s="32"/>
      <c r="F939" s="57"/>
      <c r="G939" s="57"/>
    </row>
    <row r="940" spans="3:7" ht="12.75" customHeight="1" x14ac:dyDescent="0.2">
      <c r="C940" s="32"/>
      <c r="D940" s="76"/>
      <c r="E940" s="32"/>
      <c r="F940" s="57"/>
      <c r="G940" s="57"/>
    </row>
    <row r="941" spans="3:7" ht="12.75" customHeight="1" x14ac:dyDescent="0.2">
      <c r="C941" s="32"/>
      <c r="D941" s="76"/>
      <c r="E941" s="32"/>
      <c r="F941" s="57"/>
      <c r="G941" s="57"/>
    </row>
    <row r="942" spans="3:7" ht="12.75" customHeight="1" x14ac:dyDescent="0.2">
      <c r="C942" s="32"/>
      <c r="D942" s="76"/>
      <c r="E942" s="32"/>
      <c r="F942" s="57"/>
      <c r="G942" s="57"/>
    </row>
    <row r="943" spans="3:7" ht="12.75" customHeight="1" x14ac:dyDescent="0.2">
      <c r="C943" s="32"/>
      <c r="D943" s="76"/>
      <c r="E943" s="32"/>
      <c r="F943" s="57"/>
      <c r="G943" s="57"/>
    </row>
    <row r="944" spans="3:7" ht="12.75" customHeight="1" x14ac:dyDescent="0.2">
      <c r="C944" s="32"/>
      <c r="D944" s="76"/>
      <c r="E944" s="32"/>
      <c r="F944" s="57"/>
      <c r="G944" s="57"/>
    </row>
    <row r="945" spans="3:7" ht="12.75" customHeight="1" x14ac:dyDescent="0.2">
      <c r="C945" s="32"/>
      <c r="D945" s="76"/>
      <c r="E945" s="32"/>
      <c r="F945" s="57"/>
      <c r="G945" s="57"/>
    </row>
    <row r="946" spans="3:7" ht="12.75" customHeight="1" x14ac:dyDescent="0.2">
      <c r="C946" s="32"/>
      <c r="D946" s="76"/>
      <c r="E946" s="32"/>
      <c r="F946" s="57"/>
      <c r="G946" s="57"/>
    </row>
    <row r="947" spans="3:7" ht="12.75" customHeight="1" x14ac:dyDescent="0.2">
      <c r="C947" s="32"/>
      <c r="D947" s="76"/>
      <c r="E947" s="32"/>
      <c r="F947" s="57"/>
      <c r="G947" s="57"/>
    </row>
    <row r="948" spans="3:7" ht="12.75" customHeight="1" x14ac:dyDescent="0.2">
      <c r="C948" s="32"/>
      <c r="D948" s="76"/>
      <c r="E948" s="32"/>
      <c r="F948" s="57"/>
      <c r="G948" s="57"/>
    </row>
    <row r="949" spans="3:7" ht="12.75" customHeight="1" x14ac:dyDescent="0.2">
      <c r="C949" s="32"/>
      <c r="D949" s="76"/>
      <c r="E949" s="32"/>
      <c r="F949" s="57"/>
      <c r="G949" s="57"/>
    </row>
    <row r="950" spans="3:7" ht="12.75" customHeight="1" x14ac:dyDescent="0.2">
      <c r="C950" s="32"/>
      <c r="D950" s="76"/>
      <c r="E950" s="32"/>
      <c r="F950" s="57"/>
      <c r="G950" s="57"/>
    </row>
    <row r="951" spans="3:7" ht="12.75" customHeight="1" x14ac:dyDescent="0.2">
      <c r="C951" s="32"/>
      <c r="D951" s="76"/>
      <c r="E951" s="32"/>
      <c r="F951" s="57"/>
      <c r="G951" s="57"/>
    </row>
    <row r="952" spans="3:7" ht="12.75" customHeight="1" x14ac:dyDescent="0.2">
      <c r="C952" s="32"/>
      <c r="D952" s="76"/>
      <c r="E952" s="32"/>
      <c r="F952" s="57"/>
      <c r="G952" s="57"/>
    </row>
    <row r="953" spans="3:7" ht="12.75" customHeight="1" x14ac:dyDescent="0.2">
      <c r="C953" s="32"/>
      <c r="D953" s="76"/>
      <c r="E953" s="32"/>
      <c r="F953" s="57"/>
      <c r="G953" s="57"/>
    </row>
    <row r="954" spans="3:7" ht="12.75" customHeight="1" x14ac:dyDescent="0.2">
      <c r="C954" s="32"/>
      <c r="D954" s="76"/>
      <c r="E954" s="32"/>
      <c r="F954" s="57"/>
      <c r="G954" s="57"/>
    </row>
    <row r="955" spans="3:7" ht="12.75" customHeight="1" x14ac:dyDescent="0.2">
      <c r="C955" s="32"/>
      <c r="D955" s="76"/>
      <c r="E955" s="32"/>
      <c r="F955" s="57"/>
      <c r="G955" s="57"/>
    </row>
    <row r="956" spans="3:7" ht="12.75" customHeight="1" x14ac:dyDescent="0.2">
      <c r="C956" s="32"/>
      <c r="D956" s="76"/>
      <c r="E956" s="32"/>
      <c r="F956" s="57"/>
      <c r="G956" s="57"/>
    </row>
    <row r="957" spans="3:7" ht="12.75" customHeight="1" x14ac:dyDescent="0.2">
      <c r="C957" s="32"/>
      <c r="D957" s="76"/>
      <c r="E957" s="32"/>
      <c r="F957" s="57"/>
      <c r="G957" s="57"/>
    </row>
    <row r="958" spans="3:7" ht="12.75" customHeight="1" x14ac:dyDescent="0.2">
      <c r="C958" s="32"/>
      <c r="D958" s="76"/>
      <c r="E958" s="32"/>
      <c r="F958" s="57"/>
      <c r="G958" s="57"/>
    </row>
    <row r="959" spans="3:7" ht="12.75" customHeight="1" x14ac:dyDescent="0.2">
      <c r="C959" s="32"/>
      <c r="D959" s="76"/>
      <c r="E959" s="32"/>
      <c r="F959" s="57"/>
      <c r="G959" s="57"/>
    </row>
    <row r="960" spans="3:7" ht="12.75" customHeight="1" x14ac:dyDescent="0.2">
      <c r="C960" s="32"/>
      <c r="D960" s="76"/>
      <c r="E960" s="32"/>
      <c r="F960" s="57"/>
      <c r="G960" s="57"/>
    </row>
    <row r="961" spans="3:7" ht="12.75" customHeight="1" x14ac:dyDescent="0.2">
      <c r="C961" s="32"/>
      <c r="D961" s="76"/>
      <c r="E961" s="32"/>
      <c r="F961" s="57"/>
      <c r="G961" s="57"/>
    </row>
    <row r="962" spans="3:7" ht="12.75" customHeight="1" x14ac:dyDescent="0.2">
      <c r="C962" s="32"/>
      <c r="D962" s="76"/>
      <c r="E962" s="32"/>
      <c r="F962" s="57"/>
      <c r="G962" s="57"/>
    </row>
    <row r="963" spans="3:7" ht="12.75" customHeight="1" x14ac:dyDescent="0.2">
      <c r="C963" s="32"/>
      <c r="D963" s="76"/>
      <c r="E963" s="32"/>
      <c r="F963" s="57"/>
      <c r="G963" s="57"/>
    </row>
    <row r="964" spans="3:7" ht="12.75" customHeight="1" x14ac:dyDescent="0.2">
      <c r="C964" s="32"/>
      <c r="D964" s="76"/>
      <c r="E964" s="32"/>
      <c r="F964" s="57"/>
      <c r="G964" s="57"/>
    </row>
    <row r="965" spans="3:7" ht="12.75" customHeight="1" x14ac:dyDescent="0.2">
      <c r="C965" s="32"/>
      <c r="D965" s="76"/>
      <c r="E965" s="32"/>
      <c r="F965" s="57"/>
      <c r="G965" s="57"/>
    </row>
    <row r="966" spans="3:7" ht="12.75" customHeight="1" x14ac:dyDescent="0.2">
      <c r="C966" s="32"/>
      <c r="D966" s="76"/>
      <c r="E966" s="32"/>
      <c r="F966" s="57"/>
      <c r="G966" s="57"/>
    </row>
    <row r="967" spans="3:7" ht="12.75" customHeight="1" x14ac:dyDescent="0.2">
      <c r="C967" s="32"/>
      <c r="D967" s="76"/>
      <c r="E967" s="32"/>
      <c r="F967" s="57"/>
      <c r="G967" s="57"/>
    </row>
    <row r="968" spans="3:7" ht="12.75" customHeight="1" x14ac:dyDescent="0.2">
      <c r="C968" s="32"/>
      <c r="D968" s="76"/>
      <c r="E968" s="32"/>
      <c r="F968" s="57"/>
      <c r="G968" s="57"/>
    </row>
    <row r="969" spans="3:7" ht="12.75" customHeight="1" x14ac:dyDescent="0.2">
      <c r="C969" s="32"/>
      <c r="D969" s="76"/>
      <c r="E969" s="32"/>
      <c r="F969" s="57"/>
      <c r="G969" s="57"/>
    </row>
    <row r="970" spans="3:7" ht="12.75" customHeight="1" x14ac:dyDescent="0.2">
      <c r="C970" s="32"/>
      <c r="D970" s="76"/>
      <c r="E970" s="32"/>
      <c r="F970" s="57"/>
      <c r="G970" s="57"/>
    </row>
    <row r="971" spans="3:7" ht="12.75" customHeight="1" x14ac:dyDescent="0.2">
      <c r="C971" s="32"/>
      <c r="D971" s="76"/>
      <c r="E971" s="32"/>
      <c r="F971" s="57"/>
      <c r="G971" s="57"/>
    </row>
    <row r="972" spans="3:7" ht="12.75" customHeight="1" x14ac:dyDescent="0.2">
      <c r="C972" s="32"/>
      <c r="D972" s="76"/>
      <c r="E972" s="32"/>
      <c r="F972" s="57"/>
      <c r="G972" s="57"/>
    </row>
    <row r="973" spans="3:7" ht="12.75" customHeight="1" x14ac:dyDescent="0.2">
      <c r="C973" s="32"/>
      <c r="D973" s="76"/>
      <c r="E973" s="32"/>
      <c r="F973" s="57"/>
      <c r="G973" s="57"/>
    </row>
    <row r="974" spans="3:7" ht="12.75" customHeight="1" x14ac:dyDescent="0.2">
      <c r="C974" s="32"/>
      <c r="D974" s="76"/>
      <c r="E974" s="32"/>
      <c r="F974" s="57"/>
      <c r="G974" s="57"/>
    </row>
    <row r="975" spans="3:7" ht="12.75" customHeight="1" x14ac:dyDescent="0.2">
      <c r="C975" s="32"/>
      <c r="D975" s="76"/>
      <c r="E975" s="32"/>
      <c r="F975" s="57"/>
      <c r="G975" s="57"/>
    </row>
    <row r="976" spans="3:7" ht="12.75" customHeight="1" x14ac:dyDescent="0.2">
      <c r="C976" s="32"/>
      <c r="D976" s="76"/>
      <c r="E976" s="32"/>
      <c r="F976" s="57"/>
      <c r="G976" s="57"/>
    </row>
    <row r="977" spans="3:7" ht="12.75" customHeight="1" x14ac:dyDescent="0.2">
      <c r="C977" s="32"/>
      <c r="D977" s="76"/>
      <c r="E977" s="32"/>
      <c r="F977" s="57"/>
      <c r="G977" s="57"/>
    </row>
    <row r="978" spans="3:7" ht="12.75" customHeight="1" x14ac:dyDescent="0.2">
      <c r="C978" s="32"/>
      <c r="D978" s="76"/>
      <c r="E978" s="32"/>
      <c r="F978" s="57"/>
      <c r="G978" s="57"/>
    </row>
    <row r="979" spans="3:7" ht="12.75" customHeight="1" x14ac:dyDescent="0.2">
      <c r="C979" s="32"/>
      <c r="D979" s="76"/>
      <c r="E979" s="32"/>
      <c r="F979" s="57"/>
      <c r="G979" s="57"/>
    </row>
    <row r="980" spans="3:7" ht="12.75" customHeight="1" x14ac:dyDescent="0.2">
      <c r="C980" s="32"/>
      <c r="D980" s="76"/>
      <c r="E980" s="32"/>
      <c r="F980" s="57"/>
      <c r="G980" s="57"/>
    </row>
    <row r="981" spans="3:7" ht="12.75" customHeight="1" x14ac:dyDescent="0.2">
      <c r="C981" s="32"/>
      <c r="D981" s="76"/>
      <c r="E981" s="32"/>
      <c r="F981" s="57"/>
      <c r="G981" s="57"/>
    </row>
    <row r="982" spans="3:7" ht="12.75" customHeight="1" x14ac:dyDescent="0.2">
      <c r="C982" s="32"/>
      <c r="D982" s="76"/>
      <c r="E982" s="32"/>
      <c r="F982" s="57"/>
      <c r="G982" s="57"/>
    </row>
    <row r="983" spans="3:7" ht="12.75" customHeight="1" x14ac:dyDescent="0.2">
      <c r="C983" s="32"/>
      <c r="D983" s="76"/>
      <c r="E983" s="32"/>
      <c r="F983" s="57"/>
      <c r="G983" s="57"/>
    </row>
    <row r="984" spans="3:7" ht="12.75" customHeight="1" x14ac:dyDescent="0.2">
      <c r="C984" s="32"/>
      <c r="D984" s="76"/>
      <c r="E984" s="32"/>
      <c r="F984" s="57"/>
      <c r="G984" s="57"/>
    </row>
    <row r="985" spans="3:7" ht="12.75" customHeight="1" x14ac:dyDescent="0.2">
      <c r="C985" s="32"/>
      <c r="D985" s="76"/>
      <c r="E985" s="32"/>
      <c r="F985" s="57"/>
      <c r="G985" s="57"/>
    </row>
    <row r="986" spans="3:7" ht="12.75" customHeight="1" x14ac:dyDescent="0.2">
      <c r="C986" s="32"/>
      <c r="D986" s="76"/>
      <c r="E986" s="32"/>
      <c r="F986" s="57"/>
      <c r="G986" s="57"/>
    </row>
    <row r="987" spans="3:7" ht="12.75" customHeight="1" x14ac:dyDescent="0.2">
      <c r="C987" s="32"/>
      <c r="D987" s="76"/>
      <c r="E987" s="32"/>
      <c r="F987" s="57"/>
      <c r="G987" s="57"/>
    </row>
    <row r="988" spans="3:7" ht="12.75" customHeight="1" x14ac:dyDescent="0.2">
      <c r="C988" s="32"/>
      <c r="D988" s="76"/>
      <c r="E988" s="32"/>
      <c r="F988" s="57"/>
      <c r="G988" s="57"/>
    </row>
    <row r="989" spans="3:7" ht="12.75" customHeight="1" x14ac:dyDescent="0.2">
      <c r="C989" s="32"/>
      <c r="D989" s="76"/>
      <c r="E989" s="32"/>
      <c r="F989" s="57"/>
      <c r="G989" s="57"/>
    </row>
    <row r="990" spans="3:7" ht="12.75" customHeight="1" x14ac:dyDescent="0.2">
      <c r="C990" s="32"/>
      <c r="D990" s="76"/>
      <c r="E990" s="32"/>
      <c r="F990" s="57"/>
      <c r="G990" s="57"/>
    </row>
    <row r="991" spans="3:7" ht="12.75" customHeight="1" x14ac:dyDescent="0.2">
      <c r="C991" s="32"/>
      <c r="D991" s="76"/>
      <c r="E991" s="32"/>
      <c r="F991" s="57"/>
      <c r="G991" s="57"/>
    </row>
    <row r="992" spans="3:7" ht="12.75" customHeight="1" x14ac:dyDescent="0.2">
      <c r="C992" s="32"/>
      <c r="D992" s="76"/>
      <c r="E992" s="32"/>
      <c r="F992" s="57"/>
      <c r="G992" s="57"/>
    </row>
    <row r="993" spans="3:7" ht="12.75" customHeight="1" x14ac:dyDescent="0.2">
      <c r="C993" s="32"/>
      <c r="D993" s="76"/>
      <c r="E993" s="32"/>
      <c r="F993" s="57"/>
      <c r="G993" s="57"/>
    </row>
  </sheetData>
  <pageMargins left="0.62992125984251968" right="0.23622047244094491" top="0.19685039370078741" bottom="0.39370078740157483" header="0" footer="0"/>
  <pageSetup paperSize="9" scale="110" orientation="portrait" r:id="rId1"/>
  <headerFooter>
    <oddFooter>Página &amp;P</oddFooter>
  </headerFooter>
  <rowBreaks count="1" manualBreakCount="1">
    <brk id="55" max="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zoomScale="115" zoomScaleNormal="115" zoomScaleSheetLayoutView="100" workbookViewId="0">
      <selection activeCell="B3" sqref="B3:C14"/>
    </sheetView>
  </sheetViews>
  <sheetFormatPr baseColWidth="10" defaultColWidth="14.42578125" defaultRowHeight="15" customHeight="1" x14ac:dyDescent="0.2"/>
  <cols>
    <col min="1" max="16384" width="14.42578125" style="88"/>
  </cols>
  <sheetData>
    <row r="1" spans="1:4" ht="15" customHeight="1" x14ac:dyDescent="0.2">
      <c r="A1" s="88">
        <f>+(2774*1.2+2500)*2.5</f>
        <v>14571.999999999998</v>
      </c>
    </row>
    <row r="2" spans="1:4" ht="15" customHeight="1" x14ac:dyDescent="0.2">
      <c r="A2" s="131"/>
      <c r="B2" s="132" t="s">
        <v>233</v>
      </c>
      <c r="C2" s="132" t="s">
        <v>234</v>
      </c>
      <c r="D2" s="132" t="s">
        <v>246</v>
      </c>
    </row>
    <row r="3" spans="1:4" ht="15" customHeight="1" x14ac:dyDescent="0.2">
      <c r="A3" s="131" t="s">
        <v>43</v>
      </c>
      <c r="B3" s="133">
        <f>10.1*5.5</f>
        <v>55.55</v>
      </c>
      <c r="C3" s="133">
        <f>21.36*8.66-B3</f>
        <v>129.42759999999998</v>
      </c>
      <c r="D3" s="133">
        <f>14*8.66</f>
        <v>121.24000000000001</v>
      </c>
    </row>
    <row r="4" spans="1:4" ht="15" customHeight="1" x14ac:dyDescent="0.2">
      <c r="A4" s="134">
        <v>1</v>
      </c>
      <c r="B4" s="133">
        <f>14*8.66</f>
        <v>121.24000000000001</v>
      </c>
      <c r="C4" s="133">
        <f>1.5*8.36</f>
        <v>12.54</v>
      </c>
      <c r="D4" s="133">
        <f t="shared" ref="D4:D13" si="0">14*8.66</f>
        <v>121.24000000000001</v>
      </c>
    </row>
    <row r="5" spans="1:4" ht="15" customHeight="1" x14ac:dyDescent="0.2">
      <c r="A5" s="134" t="s">
        <v>235</v>
      </c>
      <c r="B5" s="133">
        <f t="shared" ref="B5:B13" si="1">14*8.66</f>
        <v>121.24000000000001</v>
      </c>
      <c r="C5" s="133">
        <f t="shared" ref="C5:C13" si="2">1.5*8.36</f>
        <v>12.54</v>
      </c>
      <c r="D5" s="133">
        <f t="shared" si="0"/>
        <v>121.24000000000001</v>
      </c>
    </row>
    <row r="6" spans="1:4" ht="15" customHeight="1" x14ac:dyDescent="0.2">
      <c r="A6" s="134" t="s">
        <v>236</v>
      </c>
      <c r="B6" s="133">
        <f t="shared" si="1"/>
        <v>121.24000000000001</v>
      </c>
      <c r="C6" s="133">
        <f t="shared" si="2"/>
        <v>12.54</v>
      </c>
      <c r="D6" s="133">
        <f t="shared" si="0"/>
        <v>121.24000000000001</v>
      </c>
    </row>
    <row r="7" spans="1:4" ht="15" customHeight="1" x14ac:dyDescent="0.2">
      <c r="A7" s="134" t="s">
        <v>237</v>
      </c>
      <c r="B7" s="133">
        <f t="shared" si="1"/>
        <v>121.24000000000001</v>
      </c>
      <c r="C7" s="133">
        <f t="shared" si="2"/>
        <v>12.54</v>
      </c>
      <c r="D7" s="133">
        <f t="shared" si="0"/>
        <v>121.24000000000001</v>
      </c>
    </row>
    <row r="8" spans="1:4" ht="15" customHeight="1" x14ac:dyDescent="0.2">
      <c r="A8" s="134" t="s">
        <v>238</v>
      </c>
      <c r="B8" s="133">
        <f t="shared" si="1"/>
        <v>121.24000000000001</v>
      </c>
      <c r="C8" s="133">
        <f t="shared" si="2"/>
        <v>12.54</v>
      </c>
      <c r="D8" s="133">
        <f t="shared" si="0"/>
        <v>121.24000000000001</v>
      </c>
    </row>
    <row r="9" spans="1:4" ht="15" customHeight="1" x14ac:dyDescent="0.2">
      <c r="A9" s="134" t="s">
        <v>239</v>
      </c>
      <c r="B9" s="133">
        <f t="shared" si="1"/>
        <v>121.24000000000001</v>
      </c>
      <c r="C9" s="133">
        <f t="shared" si="2"/>
        <v>12.54</v>
      </c>
      <c r="D9" s="133">
        <f t="shared" si="0"/>
        <v>121.24000000000001</v>
      </c>
    </row>
    <row r="10" spans="1:4" ht="15" customHeight="1" x14ac:dyDescent="0.2">
      <c r="A10" s="134" t="s">
        <v>240</v>
      </c>
      <c r="B10" s="133">
        <f t="shared" si="1"/>
        <v>121.24000000000001</v>
      </c>
      <c r="C10" s="133">
        <f t="shared" si="2"/>
        <v>12.54</v>
      </c>
      <c r="D10" s="133">
        <f t="shared" si="0"/>
        <v>121.24000000000001</v>
      </c>
    </row>
    <row r="11" spans="1:4" ht="15" customHeight="1" x14ac:dyDescent="0.2">
      <c r="A11" s="134" t="s">
        <v>241</v>
      </c>
      <c r="B11" s="133">
        <f t="shared" si="1"/>
        <v>121.24000000000001</v>
      </c>
      <c r="C11" s="133">
        <f t="shared" si="2"/>
        <v>12.54</v>
      </c>
      <c r="D11" s="133">
        <f t="shared" si="0"/>
        <v>121.24000000000001</v>
      </c>
    </row>
    <row r="12" spans="1:4" ht="15" customHeight="1" x14ac:dyDescent="0.2">
      <c r="A12" s="134" t="s">
        <v>242</v>
      </c>
      <c r="B12" s="133">
        <f t="shared" si="1"/>
        <v>121.24000000000001</v>
      </c>
      <c r="C12" s="133">
        <f t="shared" si="2"/>
        <v>12.54</v>
      </c>
      <c r="D12" s="133">
        <f t="shared" si="0"/>
        <v>121.24000000000001</v>
      </c>
    </row>
    <row r="13" spans="1:4" ht="15" customHeight="1" x14ac:dyDescent="0.2">
      <c r="A13" s="134" t="s">
        <v>243</v>
      </c>
      <c r="B13" s="133">
        <f t="shared" si="1"/>
        <v>121.24000000000001</v>
      </c>
      <c r="C13" s="133">
        <f t="shared" si="2"/>
        <v>12.54</v>
      </c>
      <c r="D13" s="133">
        <f t="shared" si="0"/>
        <v>121.24000000000001</v>
      </c>
    </row>
    <row r="14" spans="1:4" ht="15" customHeight="1" x14ac:dyDescent="0.2">
      <c r="A14" s="134" t="s">
        <v>244</v>
      </c>
      <c r="B14" s="133">
        <f>4*5.5+3*4.5</f>
        <v>35.5</v>
      </c>
      <c r="C14" s="133"/>
      <c r="D14" s="133">
        <f t="shared" ref="D14" si="3">+B14+C14</f>
        <v>35.5</v>
      </c>
    </row>
    <row r="15" spans="1:4" ht="15" customHeight="1" x14ac:dyDescent="0.2">
      <c r="A15" s="135"/>
      <c r="B15" s="133">
        <f t="shared" ref="B15:C15" si="4">SUM(B3:B14)</f>
        <v>1303.45</v>
      </c>
      <c r="C15" s="133">
        <f t="shared" si="4"/>
        <v>254.8275999999999</v>
      </c>
      <c r="D15" s="138">
        <f>SUM(D3:D14)</f>
        <v>1369.14</v>
      </c>
    </row>
    <row r="16" spans="1:4" ht="15" customHeight="1" x14ac:dyDescent="0.2">
      <c r="A16" s="135"/>
      <c r="B16" s="136" t="s">
        <v>245</v>
      </c>
      <c r="C16" s="137">
        <f>+B15+C15*0.5</f>
        <v>1430.8638000000001</v>
      </c>
      <c r="D16" s="88">
        <f>+D15*0.25</f>
        <v>342.28500000000003</v>
      </c>
    </row>
  </sheetData>
  <printOptions horizontalCentered="1"/>
  <pageMargins left="0.19685039370078741" right="0.11811023622047245" top="7.874015748031496E-2" bottom="0.19685039370078741" header="0" footer="0"/>
  <pageSetup paperSize="9" scale="83" orientation="portrait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991"/>
  <sheetViews>
    <sheetView workbookViewId="0">
      <selection activeCell="C4" sqref="C4"/>
    </sheetView>
  </sheetViews>
  <sheetFormatPr baseColWidth="10" defaultColWidth="14.42578125" defaultRowHeight="15" customHeight="1" x14ac:dyDescent="0.2"/>
  <cols>
    <col min="1" max="1" width="11" style="139" customWidth="1"/>
    <col min="2" max="2" width="14.7109375" style="139" bestFit="1" customWidth="1"/>
    <col min="3" max="3" width="17.5703125" style="139" customWidth="1"/>
    <col min="4" max="4" width="15.7109375" style="139" customWidth="1"/>
    <col min="5" max="5" width="12.28515625" style="139" customWidth="1"/>
    <col min="6" max="6" width="11.5703125" style="139" customWidth="1"/>
    <col min="7" max="7" width="12" style="139" customWidth="1"/>
    <col min="8" max="8" width="14.7109375" style="139" bestFit="1" customWidth="1"/>
    <col min="9" max="9" width="15.7109375" style="139" bestFit="1" customWidth="1"/>
    <col min="10" max="10" width="13.7109375" style="139" bestFit="1" customWidth="1"/>
    <col min="11" max="11" width="6.5703125" style="139" customWidth="1"/>
    <col min="12" max="12" width="12.140625" style="139" customWidth="1"/>
    <col min="13" max="13" width="13" style="139" customWidth="1"/>
    <col min="14" max="14" width="10.85546875" style="139" customWidth="1"/>
    <col min="15" max="15" width="9.7109375" style="139" bestFit="1" customWidth="1"/>
    <col min="16" max="16" width="9.7109375" style="139" customWidth="1"/>
    <col min="17" max="17" width="30.5703125" style="139" bestFit="1" customWidth="1"/>
    <col min="18" max="18" width="16.5703125" style="139" bestFit="1" customWidth="1"/>
    <col min="19" max="19" width="14.7109375" style="139" bestFit="1" customWidth="1"/>
    <col min="20" max="16384" width="14.42578125" style="139"/>
  </cols>
  <sheetData>
    <row r="1" spans="1:31" ht="12.75" customHeight="1" x14ac:dyDescent="0.2">
      <c r="A1" s="140" t="s">
        <v>251</v>
      </c>
      <c r="B1" s="141"/>
      <c r="C1" s="142"/>
      <c r="D1" s="141"/>
      <c r="E1" s="141"/>
      <c r="F1" s="141"/>
      <c r="G1" s="141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</row>
    <row r="2" spans="1:31" ht="12.75" customHeight="1" x14ac:dyDescent="0.2">
      <c r="A2" s="143"/>
      <c r="B2" s="144"/>
      <c r="C2" s="144"/>
      <c r="D2" s="144"/>
      <c r="E2" s="144"/>
      <c r="F2" s="144"/>
      <c r="G2" s="144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</row>
    <row r="3" spans="1:31" ht="25.5" x14ac:dyDescent="0.2">
      <c r="A3" s="145" t="s">
        <v>252</v>
      </c>
      <c r="B3" s="146" t="s">
        <v>253</v>
      </c>
      <c r="C3" s="144"/>
      <c r="D3" s="144"/>
      <c r="E3" s="144"/>
      <c r="F3" s="144"/>
      <c r="G3" s="135"/>
      <c r="H3" s="135"/>
      <c r="I3" s="135"/>
      <c r="J3" s="135"/>
      <c r="K3" s="135"/>
      <c r="L3" s="131"/>
      <c r="M3" s="132" t="s">
        <v>233</v>
      </c>
      <c r="N3" s="132" t="s">
        <v>234</v>
      </c>
      <c r="O3" s="135"/>
      <c r="P3" s="135"/>
      <c r="Q3" s="135" t="s">
        <v>275</v>
      </c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</row>
    <row r="4" spans="1:31" ht="12.75" customHeight="1" x14ac:dyDescent="0.2">
      <c r="A4" s="147">
        <f>+N17</f>
        <v>1443.9638</v>
      </c>
      <c r="B4" s="148">
        <f>+B5/1300</f>
        <v>979.02097902097898</v>
      </c>
      <c r="C4" s="148">
        <f>+B4*A4</f>
        <v>1413670.8531468532</v>
      </c>
      <c r="D4" s="149">
        <v>24000</v>
      </c>
      <c r="F4" s="150"/>
      <c r="G4" s="135"/>
      <c r="H4" s="135"/>
      <c r="I4" s="135"/>
      <c r="J4" s="135"/>
      <c r="K4" s="135"/>
      <c r="L4" s="131" t="s">
        <v>43</v>
      </c>
      <c r="M4" s="133">
        <f>10.1*5.5</f>
        <v>55.55</v>
      </c>
      <c r="N4" s="133">
        <f>21.36*8.66-M4</f>
        <v>129.42759999999998</v>
      </c>
      <c r="O4" s="147"/>
      <c r="P4" s="147"/>
      <c r="Q4" s="98" t="s">
        <v>276</v>
      </c>
      <c r="R4" s="181">
        <f>24*1500*1000</f>
        <v>36000000</v>
      </c>
      <c r="S4" s="148">
        <f>24*1500</f>
        <v>36000</v>
      </c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</row>
    <row r="5" spans="1:31" ht="12.75" customHeight="1" x14ac:dyDescent="0.2">
      <c r="A5" s="135"/>
      <c r="B5" s="150">
        <f>1540000/1.21</f>
        <v>1272727.2727272727</v>
      </c>
      <c r="C5" s="148">
        <f>+(D4*(M9+M10+M11+M12+M13+M14)+D4*0.5*(N9+N10+N11+N12+N13+N14))/1300</f>
        <v>14269.292307692307</v>
      </c>
      <c r="D5" s="135" t="s">
        <v>254</v>
      </c>
      <c r="F5" s="144" t="s">
        <v>297</v>
      </c>
      <c r="G5" s="144"/>
      <c r="H5" s="135"/>
      <c r="I5" s="190">
        <f>+C5+C6+C7</f>
        <v>349627.27193923073</v>
      </c>
      <c r="J5" s="135"/>
      <c r="K5" s="135"/>
      <c r="L5" s="134">
        <v>1</v>
      </c>
      <c r="M5" s="133">
        <f>14*8.66</f>
        <v>121.24000000000001</v>
      </c>
      <c r="N5" s="133">
        <f>1.5*8.36+2*1.31</f>
        <v>15.16</v>
      </c>
      <c r="O5" s="148"/>
      <c r="P5" s="148"/>
      <c r="Q5" s="98" t="s">
        <v>277</v>
      </c>
      <c r="R5" s="181">
        <f>(7280000+5950000)*1.7</f>
        <v>22491000</v>
      </c>
      <c r="S5" s="148">
        <v>25000</v>
      </c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</row>
    <row r="6" spans="1:31" ht="12.75" customHeight="1" x14ac:dyDescent="0.2">
      <c r="A6" s="135"/>
      <c r="B6" s="151"/>
      <c r="C6" s="148">
        <f>+S16</f>
        <v>95357.979631538459</v>
      </c>
      <c r="D6" s="135" t="s">
        <v>288</v>
      </c>
      <c r="F6" s="135" t="s">
        <v>298</v>
      </c>
      <c r="G6" s="150"/>
      <c r="H6" s="135"/>
      <c r="I6" s="190">
        <f>4*60000</f>
        <v>240000</v>
      </c>
      <c r="J6" s="135"/>
      <c r="K6" s="135"/>
      <c r="L6" s="134" t="s">
        <v>235</v>
      </c>
      <c r="M6" s="133">
        <f t="shared" ref="M6:M14" si="0">14*8.66</f>
        <v>121.24000000000001</v>
      </c>
      <c r="N6" s="133">
        <f t="shared" ref="N6:N14" si="1">1.5*8.36+2*1.31</f>
        <v>15.16</v>
      </c>
      <c r="O6" s="135"/>
      <c r="P6" s="135"/>
      <c r="Q6" s="98" t="s">
        <v>278</v>
      </c>
      <c r="R6" s="181">
        <f>184*50</f>
        <v>9200</v>
      </c>
      <c r="S6" s="148">
        <f>+R6/1300</f>
        <v>7.0769230769230766</v>
      </c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</row>
    <row r="7" spans="1:31" ht="12.75" customHeight="1" x14ac:dyDescent="0.2">
      <c r="A7" s="135"/>
      <c r="B7" s="151"/>
      <c r="C7" s="152">
        <v>240000</v>
      </c>
      <c r="D7" s="135" t="s">
        <v>255</v>
      </c>
      <c r="F7" s="135" t="s">
        <v>299</v>
      </c>
      <c r="G7" s="150"/>
      <c r="H7" s="135"/>
      <c r="I7" s="190">
        <f>2*60000</f>
        <v>120000</v>
      </c>
      <c r="J7" s="135"/>
      <c r="K7" s="135"/>
      <c r="L7" s="134" t="s">
        <v>236</v>
      </c>
      <c r="M7" s="133">
        <f t="shared" si="0"/>
        <v>121.24000000000001</v>
      </c>
      <c r="N7" s="133">
        <f t="shared" si="1"/>
        <v>15.16</v>
      </c>
      <c r="O7" s="135"/>
      <c r="P7" s="135"/>
      <c r="Q7" s="98" t="s">
        <v>279</v>
      </c>
      <c r="R7" s="181">
        <v>0</v>
      </c>
      <c r="S7" s="148">
        <f t="shared" ref="S7:S14" si="2">+R7/1300</f>
        <v>0</v>
      </c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</row>
    <row r="8" spans="1:31" ht="12.75" customHeight="1" x14ac:dyDescent="0.2">
      <c r="A8" s="135"/>
      <c r="B8" s="151"/>
      <c r="C8" s="153">
        <f>SUM(C4:C7)</f>
        <v>1763298.125086084</v>
      </c>
      <c r="D8" s="144" t="s">
        <v>256</v>
      </c>
      <c r="E8" s="135"/>
      <c r="F8" s="135"/>
      <c r="G8" s="135"/>
      <c r="H8" s="135"/>
      <c r="I8" s="190">
        <f>+I6+I7</f>
        <v>360000</v>
      </c>
      <c r="J8" s="135"/>
      <c r="K8" s="135"/>
      <c r="L8" s="134" t="s">
        <v>237</v>
      </c>
      <c r="M8" s="133">
        <f t="shared" si="0"/>
        <v>121.24000000000001</v>
      </c>
      <c r="N8" s="133">
        <f t="shared" si="1"/>
        <v>15.16</v>
      </c>
      <c r="O8" s="135"/>
      <c r="P8" s="135"/>
      <c r="Q8" s="98" t="s">
        <v>280</v>
      </c>
      <c r="R8" s="183">
        <v>774000</v>
      </c>
      <c r="S8" s="148">
        <f t="shared" si="2"/>
        <v>595.38461538461536</v>
      </c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</row>
    <row r="9" spans="1:31" ht="12.75" customHeight="1" x14ac:dyDescent="0.2">
      <c r="A9" s="135"/>
      <c r="B9" s="151"/>
      <c r="C9" s="151"/>
      <c r="D9" s="148"/>
      <c r="E9" s="135"/>
      <c r="F9" s="135"/>
      <c r="G9" s="135"/>
      <c r="H9" s="135"/>
      <c r="I9" s="135"/>
      <c r="J9" s="135"/>
      <c r="K9" s="135"/>
      <c r="L9" s="134" t="s">
        <v>238</v>
      </c>
      <c r="M9" s="133">
        <f t="shared" si="0"/>
        <v>121.24000000000001</v>
      </c>
      <c r="N9" s="133">
        <f t="shared" si="1"/>
        <v>15.16</v>
      </c>
      <c r="O9" s="147">
        <f>+M9+N9*0.5</f>
        <v>128.82000000000002</v>
      </c>
      <c r="P9" s="147"/>
      <c r="Q9" s="98" t="s">
        <v>281</v>
      </c>
      <c r="R9" s="181">
        <f>30*184</f>
        <v>5520</v>
      </c>
      <c r="S9" s="148">
        <f t="shared" si="2"/>
        <v>4.2461538461538462</v>
      </c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</row>
    <row r="10" spans="1:31" ht="12.75" customHeight="1" x14ac:dyDescent="0.2">
      <c r="A10" s="154" t="s">
        <v>257</v>
      </c>
      <c r="B10" s="155"/>
      <c r="C10" s="156">
        <v>1500</v>
      </c>
      <c r="D10" s="144"/>
      <c r="E10" s="135"/>
      <c r="F10" s="186"/>
      <c r="G10" s="186"/>
      <c r="H10" s="186"/>
      <c r="I10" s="186"/>
      <c r="J10" s="135"/>
      <c r="K10" s="135"/>
      <c r="L10" s="134" t="s">
        <v>239</v>
      </c>
      <c r="M10" s="133">
        <f t="shared" si="0"/>
        <v>121.24000000000001</v>
      </c>
      <c r="N10" s="133">
        <f t="shared" si="1"/>
        <v>15.16</v>
      </c>
      <c r="O10" s="147">
        <f t="shared" ref="O10:O15" si="3">+M10+N10*0.5</f>
        <v>128.82000000000002</v>
      </c>
      <c r="P10" s="147"/>
      <c r="Q10" s="98" t="s">
        <v>282</v>
      </c>
      <c r="R10" s="181">
        <f>6*184</f>
        <v>1104</v>
      </c>
      <c r="S10" s="148">
        <f t="shared" si="2"/>
        <v>0.84923076923076923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</row>
    <row r="11" spans="1:31" ht="12.75" customHeight="1" x14ac:dyDescent="0.2">
      <c r="C11" s="148"/>
      <c r="D11" s="135"/>
      <c r="E11" s="135"/>
      <c r="G11" s="172"/>
      <c r="H11" s="172"/>
      <c r="I11" s="172"/>
      <c r="J11" s="135"/>
      <c r="K11" s="135"/>
      <c r="L11" s="134" t="s">
        <v>240</v>
      </c>
      <c r="M11" s="133">
        <f t="shared" si="0"/>
        <v>121.24000000000001</v>
      </c>
      <c r="N11" s="133">
        <f t="shared" si="1"/>
        <v>15.16</v>
      </c>
      <c r="O11" s="147">
        <f t="shared" si="3"/>
        <v>128.82000000000002</v>
      </c>
      <c r="P11" s="147"/>
      <c r="Q11" s="98" t="s">
        <v>283</v>
      </c>
      <c r="R11" s="183">
        <v>350000</v>
      </c>
      <c r="S11" s="148">
        <f t="shared" si="2"/>
        <v>269.23076923076923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</row>
    <row r="12" spans="1:31" ht="12.75" customHeight="1" x14ac:dyDescent="0.2">
      <c r="A12" s="157" t="s">
        <v>258</v>
      </c>
      <c r="B12" s="158" t="s">
        <v>259</v>
      </c>
      <c r="C12" s="148"/>
      <c r="D12" s="144"/>
      <c r="E12" s="147"/>
      <c r="F12" s="172" t="s">
        <v>233</v>
      </c>
      <c r="G12" s="171" t="s">
        <v>290</v>
      </c>
      <c r="H12" s="187" t="s">
        <v>262</v>
      </c>
      <c r="I12" s="187"/>
      <c r="J12" s="135"/>
      <c r="K12" s="135"/>
      <c r="L12" s="134" t="s">
        <v>241</v>
      </c>
      <c r="M12" s="133">
        <f t="shared" si="0"/>
        <v>121.24000000000001</v>
      </c>
      <c r="N12" s="133">
        <f t="shared" si="1"/>
        <v>15.16</v>
      </c>
      <c r="O12" s="147">
        <f t="shared" si="3"/>
        <v>128.82000000000002</v>
      </c>
      <c r="P12" s="147"/>
      <c r="Q12" s="98" t="s">
        <v>284</v>
      </c>
      <c r="R12" s="181">
        <f>765*24000</f>
        <v>18360000</v>
      </c>
      <c r="S12" s="148">
        <f t="shared" si="2"/>
        <v>14123.076923076924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</row>
    <row r="13" spans="1:31" ht="12.75" customHeight="1" x14ac:dyDescent="0.2">
      <c r="A13" s="157">
        <v>3</v>
      </c>
      <c r="B13" s="148">
        <v>15000</v>
      </c>
      <c r="C13" s="148">
        <f t="shared" ref="C13:C26" si="4">+B13*A13</f>
        <v>45000</v>
      </c>
      <c r="D13" s="144" t="s">
        <v>260</v>
      </c>
      <c r="E13" s="159" t="s">
        <v>261</v>
      </c>
      <c r="F13" s="188"/>
      <c r="G13" s="188"/>
      <c r="H13" s="188"/>
      <c r="I13" s="188"/>
      <c r="L13" s="134" t="s">
        <v>242</v>
      </c>
      <c r="M13" s="133">
        <f t="shared" si="0"/>
        <v>121.24000000000001</v>
      </c>
      <c r="N13" s="133">
        <f t="shared" si="1"/>
        <v>15.16</v>
      </c>
      <c r="O13" s="147">
        <f t="shared" si="3"/>
        <v>128.82000000000002</v>
      </c>
      <c r="P13" s="147"/>
      <c r="Q13" s="98" t="s">
        <v>285</v>
      </c>
      <c r="R13" s="183">
        <f>35*184</f>
        <v>6440</v>
      </c>
      <c r="S13" s="148">
        <f t="shared" si="2"/>
        <v>4.953846153846154</v>
      </c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</row>
    <row r="14" spans="1:31" ht="12.75" customHeight="1" x14ac:dyDescent="0.2">
      <c r="A14" s="157">
        <v>1</v>
      </c>
      <c r="B14" s="148">
        <v>45000</v>
      </c>
      <c r="C14" s="148">
        <f t="shared" si="4"/>
        <v>45000</v>
      </c>
      <c r="D14" s="144" t="s">
        <v>289</v>
      </c>
      <c r="E14" s="159"/>
      <c r="F14" s="160">
        <f>5.5*2.7</f>
        <v>14.850000000000001</v>
      </c>
      <c r="G14" s="160"/>
      <c r="H14" s="170">
        <f>SUM(F14:G14)</f>
        <v>14.850000000000001</v>
      </c>
      <c r="I14" s="170">
        <f>+H14*A14</f>
        <v>14.850000000000001</v>
      </c>
      <c r="J14" s="157"/>
      <c r="K14" s="157"/>
      <c r="L14" s="134" t="s">
        <v>243</v>
      </c>
      <c r="M14" s="133">
        <f t="shared" si="0"/>
        <v>121.24000000000001</v>
      </c>
      <c r="N14" s="133">
        <f t="shared" si="1"/>
        <v>15.16</v>
      </c>
      <c r="O14" s="147">
        <f t="shared" si="3"/>
        <v>128.82000000000002</v>
      </c>
      <c r="P14" s="147"/>
      <c r="Q14" s="98" t="s">
        <v>286</v>
      </c>
      <c r="R14" s="182">
        <f>3019463.07*2+7850603.97</f>
        <v>13889530.109999999</v>
      </c>
      <c r="S14" s="173">
        <f t="shared" si="2"/>
        <v>10684.25393076923</v>
      </c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</row>
    <row r="15" spans="1:31" ht="12.75" customHeight="1" x14ac:dyDescent="0.2">
      <c r="A15" s="161">
        <v>3</v>
      </c>
      <c r="B15" s="162">
        <f>+H15*C$10</f>
        <v>59011.57894736842</v>
      </c>
      <c r="C15" s="162">
        <f t="shared" si="4"/>
        <v>177034.73684210525</v>
      </c>
      <c r="D15" s="163" t="s">
        <v>263</v>
      </c>
      <c r="E15" s="164" t="s">
        <v>291</v>
      </c>
      <c r="F15" s="165">
        <f>5.8*5.4-0.3/3.8</f>
        <v>31.241052631578949</v>
      </c>
      <c r="G15" s="165">
        <f>1.5*5.4</f>
        <v>8.1000000000000014</v>
      </c>
      <c r="H15" s="160">
        <f t="shared" ref="H15:H16" si="5">SUM(F15:G15)</f>
        <v>39.341052631578947</v>
      </c>
      <c r="I15" s="160">
        <f t="shared" ref="I15:I26" si="6">+H15*A15</f>
        <v>118.02315789473684</v>
      </c>
      <c r="J15" s="148">
        <f>+B15/H15</f>
        <v>1500</v>
      </c>
      <c r="K15" s="172"/>
      <c r="L15" s="134" t="s">
        <v>244</v>
      </c>
      <c r="M15" s="133">
        <f>4*5.5+3*4.5</f>
        <v>35.5</v>
      </c>
      <c r="N15" s="133"/>
      <c r="O15" s="147">
        <f t="shared" si="3"/>
        <v>35.5</v>
      </c>
      <c r="P15" s="147"/>
      <c r="Q15" s="98"/>
      <c r="R15" s="181">
        <f>SUM(R4:R14)</f>
        <v>91886794.109999999</v>
      </c>
      <c r="S15" s="148">
        <f>SUM(S4:S14)</f>
        <v>86689.072392307688</v>
      </c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</row>
    <row r="16" spans="1:31" ht="12.75" customHeight="1" x14ac:dyDescent="0.2">
      <c r="A16" s="157">
        <v>3</v>
      </c>
      <c r="B16" s="148">
        <f>+H16*C$10</f>
        <v>48225</v>
      </c>
      <c r="C16" s="148">
        <f t="shared" si="4"/>
        <v>144675</v>
      </c>
      <c r="D16" s="144" t="s">
        <v>264</v>
      </c>
      <c r="E16" s="159"/>
      <c r="F16" s="160">
        <f>9.6*3.25-3.5*1.1</f>
        <v>27.349999999999998</v>
      </c>
      <c r="G16" s="160">
        <f>1.5*3.2</f>
        <v>4.8000000000000007</v>
      </c>
      <c r="H16" s="160">
        <f t="shared" si="5"/>
        <v>32.15</v>
      </c>
      <c r="I16" s="160">
        <f t="shared" si="6"/>
        <v>96.449999999999989</v>
      </c>
      <c r="J16" s="148">
        <f t="shared" ref="J16:J26" si="7">+B16/H16</f>
        <v>1500</v>
      </c>
      <c r="K16" s="172"/>
      <c r="L16" s="135"/>
      <c r="M16" s="133">
        <f t="shared" ref="M16:N16" si="8">SUM(M4:M15)</f>
        <v>1303.45</v>
      </c>
      <c r="N16" s="133">
        <f t="shared" si="8"/>
        <v>281.02760000000001</v>
      </c>
      <c r="O16" s="147">
        <f>SUM(O9:O15)</f>
        <v>808.42000000000019</v>
      </c>
      <c r="P16" s="147"/>
      <c r="Q16" s="184" t="s">
        <v>287</v>
      </c>
      <c r="R16" s="185">
        <f>+R15*1.1</f>
        <v>101075473.52100001</v>
      </c>
      <c r="S16" s="148">
        <f>+S15*1.1</f>
        <v>95357.979631538459</v>
      </c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</row>
    <row r="17" spans="1:31" ht="12.75" customHeight="1" x14ac:dyDescent="0.2">
      <c r="A17" s="166">
        <v>3</v>
      </c>
      <c r="B17" s="148">
        <f>+H17*C$10</f>
        <v>64749.000000000015</v>
      </c>
      <c r="C17" s="152">
        <f t="shared" si="4"/>
        <v>194247.00000000006</v>
      </c>
      <c r="D17" s="167" t="s">
        <v>268</v>
      </c>
      <c r="E17" s="168"/>
      <c r="F17" s="169">
        <f>4.4*8.66+1.8*1.05+1.7*1.26-0.3*1.7-0.45*2.4</f>
        <v>40.546000000000014</v>
      </c>
      <c r="G17" s="169">
        <v>2.62</v>
      </c>
      <c r="H17" s="170">
        <f t="shared" ref="H17:H26" si="9">SUM(F17:G17)</f>
        <v>43.166000000000011</v>
      </c>
      <c r="I17" s="170">
        <f t="shared" si="6"/>
        <v>129.49800000000005</v>
      </c>
      <c r="J17" s="148">
        <f t="shared" si="7"/>
        <v>1500</v>
      </c>
      <c r="K17" s="172"/>
      <c r="L17" s="135"/>
      <c r="M17" s="136" t="s">
        <v>245</v>
      </c>
      <c r="N17" s="137">
        <f>+M16+N16*0.5</f>
        <v>1443.9638</v>
      </c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</row>
    <row r="18" spans="1:31" ht="12.75" customHeight="1" x14ac:dyDescent="0.2">
      <c r="A18" s="161">
        <v>3</v>
      </c>
      <c r="B18" s="162">
        <f>+H18*C$10*1.02</f>
        <v>60191.810526315792</v>
      </c>
      <c r="C18" s="162">
        <f t="shared" si="4"/>
        <v>180575.43157894738</v>
      </c>
      <c r="D18" s="163" t="s">
        <v>263</v>
      </c>
      <c r="E18" s="164" t="s">
        <v>292</v>
      </c>
      <c r="F18" s="165">
        <f>5.8*5.4-0.3/3.8</f>
        <v>31.241052631578949</v>
      </c>
      <c r="G18" s="165">
        <f>1.5*5.4</f>
        <v>8.1000000000000014</v>
      </c>
      <c r="H18" s="160">
        <f t="shared" si="9"/>
        <v>39.341052631578947</v>
      </c>
      <c r="I18" s="160">
        <f t="shared" si="6"/>
        <v>118.02315789473684</v>
      </c>
      <c r="J18" s="148">
        <f t="shared" si="7"/>
        <v>1530</v>
      </c>
      <c r="K18" s="172"/>
      <c r="L18" s="135"/>
      <c r="M18" s="150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</row>
    <row r="19" spans="1:31" ht="12" customHeight="1" x14ac:dyDescent="0.2">
      <c r="A19" s="157">
        <v>3</v>
      </c>
      <c r="B19" s="148">
        <f>+H19*C$10*1.02</f>
        <v>49189.5</v>
      </c>
      <c r="C19" s="148">
        <f t="shared" si="4"/>
        <v>147568.5</v>
      </c>
      <c r="D19" s="144" t="s">
        <v>264</v>
      </c>
      <c r="E19" s="159"/>
      <c r="F19" s="160">
        <f>9.6*3.25-3.5*1.1</f>
        <v>27.349999999999998</v>
      </c>
      <c r="G19" s="160">
        <f>1.5*3.2</f>
        <v>4.8000000000000007</v>
      </c>
      <c r="H19" s="160">
        <f t="shared" si="9"/>
        <v>32.15</v>
      </c>
      <c r="I19" s="160">
        <f t="shared" si="6"/>
        <v>96.449999999999989</v>
      </c>
      <c r="J19" s="148">
        <f t="shared" si="7"/>
        <v>1530</v>
      </c>
      <c r="K19" s="172"/>
      <c r="L19" s="135"/>
      <c r="M19" s="189">
        <f>SUM(M9:M14)+(SUM(N9:N14)*0.5)</f>
        <v>772.92000000000007</v>
      </c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</row>
    <row r="20" spans="1:31" ht="12.75" customHeight="1" x14ac:dyDescent="0.2">
      <c r="A20" s="166">
        <v>3</v>
      </c>
      <c r="B20" s="152">
        <f>+H20*C$10*1.05</f>
        <v>67986.450000000012</v>
      </c>
      <c r="C20" s="152">
        <f t="shared" si="4"/>
        <v>203959.35000000003</v>
      </c>
      <c r="D20" s="167" t="s">
        <v>265</v>
      </c>
      <c r="E20" s="168"/>
      <c r="F20" s="169">
        <f>4.4*8.66+1.8*1.05+1.7*1.26-0.3*1.7-0.45*2.4</f>
        <v>40.546000000000014</v>
      </c>
      <c r="G20" s="169">
        <v>2.62</v>
      </c>
      <c r="H20" s="170">
        <f t="shared" si="9"/>
        <v>43.166000000000011</v>
      </c>
      <c r="I20" s="170">
        <f t="shared" si="6"/>
        <v>129.49800000000005</v>
      </c>
      <c r="J20" s="148">
        <f t="shared" si="7"/>
        <v>1574.9999999999998</v>
      </c>
      <c r="K20" s="172"/>
      <c r="L20" s="135" t="s">
        <v>266</v>
      </c>
      <c r="M20" s="150"/>
      <c r="N20" s="147">
        <f>+M16</f>
        <v>1303.45</v>
      </c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</row>
    <row r="21" spans="1:31" ht="12.75" customHeight="1" x14ac:dyDescent="0.2">
      <c r="A21" s="161">
        <v>3</v>
      </c>
      <c r="B21" s="162">
        <f>+H21*C$10*1.04</f>
        <v>61372.042105263157</v>
      </c>
      <c r="C21" s="162">
        <f t="shared" si="4"/>
        <v>184116.12631578947</v>
      </c>
      <c r="D21" s="163" t="s">
        <v>263</v>
      </c>
      <c r="E21" s="164" t="s">
        <v>293</v>
      </c>
      <c r="F21" s="165">
        <f>5.8*5.4-0.3/3.8</f>
        <v>31.241052631578949</v>
      </c>
      <c r="G21" s="165">
        <f>1.5*5.4</f>
        <v>8.1000000000000014</v>
      </c>
      <c r="H21" s="160">
        <f t="shared" si="9"/>
        <v>39.341052631578947</v>
      </c>
      <c r="I21" s="160">
        <f t="shared" ref="I21:I23" si="10">+H21*A21</f>
        <v>118.02315789473684</v>
      </c>
      <c r="J21" s="148">
        <f t="shared" si="7"/>
        <v>1560</v>
      </c>
      <c r="K21" s="172"/>
      <c r="L21" s="139" t="s">
        <v>267</v>
      </c>
      <c r="M21" s="150"/>
      <c r="N21" s="147">
        <f>+N16-N22</f>
        <v>151.60000000000002</v>
      </c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</row>
    <row r="22" spans="1:31" ht="12" customHeight="1" x14ac:dyDescent="0.2">
      <c r="A22" s="157">
        <v>3</v>
      </c>
      <c r="B22" s="148">
        <f>+H22*C$10*1.04</f>
        <v>50154</v>
      </c>
      <c r="C22" s="148">
        <f t="shared" si="4"/>
        <v>150462</v>
      </c>
      <c r="D22" s="144" t="s">
        <v>264</v>
      </c>
      <c r="E22" s="159"/>
      <c r="F22" s="160">
        <f>9.6*3.25-3.5*1.1</f>
        <v>27.349999999999998</v>
      </c>
      <c r="G22" s="160">
        <f>1.5*3.2</f>
        <v>4.8000000000000007</v>
      </c>
      <c r="H22" s="160">
        <f t="shared" si="9"/>
        <v>32.15</v>
      </c>
      <c r="I22" s="160">
        <f t="shared" si="10"/>
        <v>96.449999999999989</v>
      </c>
      <c r="J22" s="148">
        <f t="shared" si="7"/>
        <v>1560</v>
      </c>
      <c r="K22" s="172"/>
      <c r="L22" s="135" t="s">
        <v>260</v>
      </c>
      <c r="M22" s="150"/>
      <c r="N22" s="147">
        <f>+N4</f>
        <v>129.42759999999998</v>
      </c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</row>
    <row r="23" spans="1:31" ht="12.75" customHeight="1" x14ac:dyDescent="0.2">
      <c r="A23" s="166">
        <v>3</v>
      </c>
      <c r="B23" s="152">
        <f>+H23*C$10*1.04</f>
        <v>67338.960000000021</v>
      </c>
      <c r="C23" s="152">
        <f t="shared" si="4"/>
        <v>202016.88000000006</v>
      </c>
      <c r="D23" s="167" t="s">
        <v>268</v>
      </c>
      <c r="E23" s="168"/>
      <c r="F23" s="169">
        <f>4.4*8.66+1.8*1.05+1.7*1.26-0.3*1.7-0.45*2.4</f>
        <v>40.546000000000014</v>
      </c>
      <c r="G23" s="169">
        <v>2.62</v>
      </c>
      <c r="H23" s="170">
        <f t="shared" si="9"/>
        <v>43.166000000000011</v>
      </c>
      <c r="I23" s="170">
        <f t="shared" si="10"/>
        <v>129.49800000000005</v>
      </c>
      <c r="J23" s="148">
        <f t="shared" si="7"/>
        <v>1560</v>
      </c>
      <c r="K23" s="172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</row>
    <row r="24" spans="1:31" ht="12.75" customHeight="1" x14ac:dyDescent="0.2">
      <c r="A24" s="161">
        <v>1</v>
      </c>
      <c r="B24" s="162">
        <f>+H24*C$10*1.06+8000</f>
        <v>70552.273684210522</v>
      </c>
      <c r="C24" s="162">
        <f t="shared" si="4"/>
        <v>70552.273684210522</v>
      </c>
      <c r="D24" s="163" t="s">
        <v>296</v>
      </c>
      <c r="E24" s="164" t="s">
        <v>294</v>
      </c>
      <c r="F24" s="165">
        <f>5.8*5.4-0.3/3.8</f>
        <v>31.241052631578949</v>
      </c>
      <c r="G24" s="165">
        <f>1.5*5.4</f>
        <v>8.1000000000000014</v>
      </c>
      <c r="H24" s="160">
        <f t="shared" si="9"/>
        <v>39.341052631578947</v>
      </c>
      <c r="I24" s="160">
        <f t="shared" si="6"/>
        <v>39.341052631578947</v>
      </c>
      <c r="J24" s="148">
        <f t="shared" si="7"/>
        <v>1793.3499224059506</v>
      </c>
      <c r="K24" s="172"/>
      <c r="M24" s="150"/>
      <c r="N24" s="147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</row>
    <row r="25" spans="1:31" ht="12" customHeight="1" x14ac:dyDescent="0.2">
      <c r="A25" s="157">
        <v>1</v>
      </c>
      <c r="B25" s="148">
        <f>+H25*C$10*1.06</f>
        <v>51118.5</v>
      </c>
      <c r="C25" s="148">
        <f t="shared" si="4"/>
        <v>51118.5</v>
      </c>
      <c r="D25" s="144" t="s">
        <v>264</v>
      </c>
      <c r="E25" s="159"/>
      <c r="F25" s="160">
        <f>9.6*3.25-3.5*1.1</f>
        <v>27.349999999999998</v>
      </c>
      <c r="G25" s="160">
        <f>1.5*3.2</f>
        <v>4.8000000000000007</v>
      </c>
      <c r="H25" s="160">
        <f t="shared" si="9"/>
        <v>32.15</v>
      </c>
      <c r="I25" s="160">
        <f t="shared" si="6"/>
        <v>32.15</v>
      </c>
      <c r="J25" s="148">
        <f t="shared" si="7"/>
        <v>1590</v>
      </c>
      <c r="K25" s="172"/>
      <c r="L25" s="135"/>
      <c r="M25" s="150"/>
      <c r="N25" s="147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1" ht="12.75" customHeight="1" x14ac:dyDescent="0.2">
      <c r="A26" s="166">
        <v>1</v>
      </c>
      <c r="B26" s="152">
        <f>+H26*C$10*1.06+8000</f>
        <v>76633.940000000017</v>
      </c>
      <c r="C26" s="152">
        <f t="shared" si="4"/>
        <v>76633.940000000017</v>
      </c>
      <c r="D26" s="167" t="s">
        <v>295</v>
      </c>
      <c r="E26" s="168"/>
      <c r="F26" s="169">
        <f>4.4*8.66+1.8*1.05+1.7*1.26-0.3*1.7-0.45*2.4</f>
        <v>40.546000000000014</v>
      </c>
      <c r="G26" s="169">
        <v>2.62</v>
      </c>
      <c r="H26" s="170">
        <f t="shared" si="9"/>
        <v>43.166000000000011</v>
      </c>
      <c r="I26" s="170">
        <f t="shared" si="6"/>
        <v>43.166000000000011</v>
      </c>
      <c r="J26" s="148">
        <f t="shared" si="7"/>
        <v>1775.3310475837463</v>
      </c>
      <c r="K26" s="172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  <row r="27" spans="1:31" ht="12.75" customHeight="1" x14ac:dyDescent="0.2">
      <c r="A27" s="157">
        <f>SUM(A15:A26)</f>
        <v>30</v>
      </c>
      <c r="B27" s="144" t="s">
        <v>258</v>
      </c>
      <c r="C27" s="153">
        <f>SUM(C13:C26)</f>
        <v>1872959.7384210529</v>
      </c>
      <c r="D27" s="144" t="s">
        <v>269</v>
      </c>
      <c r="E27" s="144"/>
      <c r="F27" s="144"/>
      <c r="G27" s="135"/>
      <c r="H27" s="174">
        <f>SUM(H15:H26)</f>
        <v>458.62821052631585</v>
      </c>
      <c r="I27" s="174">
        <f>SUM(I14:I26)</f>
        <v>1161.4205263157899</v>
      </c>
      <c r="J27" s="160"/>
      <c r="K27" s="157"/>
      <c r="L27" s="135"/>
      <c r="M27" s="150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</row>
    <row r="28" spans="1:31" ht="12.75" customHeight="1" x14ac:dyDescent="0.2">
      <c r="J28" s="171"/>
      <c r="K28" s="157"/>
      <c r="L28" s="135"/>
      <c r="M28" s="150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</row>
    <row r="29" spans="1:31" ht="12.75" customHeight="1" thickBot="1" x14ac:dyDescent="0.25">
      <c r="A29" s="144"/>
      <c r="B29" s="135"/>
      <c r="C29" s="144"/>
      <c r="D29" s="144"/>
      <c r="E29" s="144"/>
      <c r="F29" s="144"/>
      <c r="G29" s="147"/>
      <c r="H29" s="135"/>
      <c r="I29" s="135"/>
      <c r="J29" s="160"/>
      <c r="K29" s="157"/>
      <c r="L29" s="147"/>
      <c r="M29" s="176"/>
      <c r="N29" s="177"/>
      <c r="O29" s="151"/>
      <c r="P29" s="151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</row>
    <row r="30" spans="1:31" ht="12.75" customHeight="1" thickBot="1" x14ac:dyDescent="0.25">
      <c r="A30" s="143" t="s">
        <v>270</v>
      </c>
      <c r="B30" s="144"/>
      <c r="C30" s="175">
        <f>+(C27/C8-1)</f>
        <v>6.2191192615040691E-2</v>
      </c>
      <c r="D30" s="144" t="s">
        <v>271</v>
      </c>
      <c r="E30" s="144"/>
      <c r="F30" s="144" t="s">
        <v>272</v>
      </c>
      <c r="G30" s="147"/>
      <c r="I30" s="148">
        <f>+C8/I27</f>
        <v>1518.2253844604809</v>
      </c>
      <c r="J30" s="135"/>
      <c r="K30" s="135"/>
      <c r="L30" s="135"/>
      <c r="M30" s="178"/>
      <c r="N30" s="177"/>
      <c r="O30" s="151"/>
      <c r="P30" s="151"/>
      <c r="Q30" s="151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</row>
    <row r="31" spans="1:31" ht="12.75" customHeight="1" x14ac:dyDescent="0.2">
      <c r="A31" s="144" t="s">
        <v>273</v>
      </c>
      <c r="B31" s="135"/>
      <c r="C31" s="135"/>
      <c r="D31" s="144"/>
      <c r="E31" s="148"/>
      <c r="F31" s="148" t="s">
        <v>274</v>
      </c>
      <c r="G31" s="147"/>
      <c r="I31" s="148">
        <f>+I30*1.2</f>
        <v>1821.870461352577</v>
      </c>
      <c r="J31" s="135"/>
      <c r="K31" s="135"/>
      <c r="L31" s="135"/>
      <c r="M31" s="176"/>
      <c r="N31" s="151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</row>
    <row r="32" spans="1:31" ht="12.75" customHeight="1" x14ac:dyDescent="0.2">
      <c r="A32" s="179"/>
      <c r="B32" s="135"/>
      <c r="C32" s="151"/>
      <c r="D32" s="135"/>
      <c r="E32" s="148"/>
      <c r="F32" s="148"/>
      <c r="G32" s="135"/>
      <c r="H32" s="135"/>
      <c r="I32" s="135"/>
      <c r="J32" s="135"/>
      <c r="K32" s="135"/>
      <c r="L32" s="135"/>
      <c r="M32" s="180"/>
      <c r="N32" s="151"/>
      <c r="O32" s="151"/>
      <c r="P32" s="151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</row>
    <row r="33" spans="1:31" ht="12.75" customHeight="1" x14ac:dyDescent="0.2">
      <c r="C33" s="191">
        <f>+C4+I5</f>
        <v>1763298.125086084</v>
      </c>
      <c r="J33" s="135"/>
      <c r="K33" s="135"/>
      <c r="L33" s="135"/>
      <c r="M33" s="135"/>
      <c r="N33" s="148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</row>
    <row r="34" spans="1:31" ht="12.75" customHeight="1" x14ac:dyDescent="0.2">
      <c r="C34" s="139">
        <f>+C33/I27</f>
        <v>1518.2253844604809</v>
      </c>
      <c r="J34" s="135"/>
      <c r="K34" s="135"/>
      <c r="L34" s="135"/>
      <c r="M34" s="135"/>
      <c r="N34" s="148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</row>
    <row r="35" spans="1:31" ht="12.75" customHeight="1" x14ac:dyDescent="0.2">
      <c r="B35" s="135"/>
      <c r="C35" s="151"/>
      <c r="D35" s="135"/>
      <c r="E35" s="135"/>
      <c r="F35" s="135"/>
      <c r="G35" s="144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</row>
    <row r="36" spans="1:31" ht="12.75" customHeight="1" x14ac:dyDescent="0.2">
      <c r="A36" s="135"/>
      <c r="B36" s="135"/>
      <c r="C36" s="151"/>
      <c r="D36" s="151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</row>
    <row r="37" spans="1:31" ht="12.75" customHeight="1" x14ac:dyDescent="0.2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</row>
    <row r="38" spans="1:31" ht="12.75" customHeight="1" x14ac:dyDescent="0.2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</row>
    <row r="39" spans="1:31" ht="12.75" customHeight="1" x14ac:dyDescent="0.2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</row>
    <row r="40" spans="1:31" ht="12.75" customHeight="1" x14ac:dyDescent="0.2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</row>
    <row r="41" spans="1:31" ht="12.75" customHeight="1" x14ac:dyDescent="0.2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</row>
    <row r="42" spans="1:31" ht="12.75" customHeight="1" x14ac:dyDescent="0.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</row>
    <row r="43" spans="1:31" ht="12.75" customHeight="1" x14ac:dyDescent="0.2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</row>
    <row r="44" spans="1:31" ht="12.75" customHeight="1" x14ac:dyDescent="0.2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</row>
    <row r="45" spans="1:31" ht="12.75" customHeight="1" x14ac:dyDescent="0.2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</row>
    <row r="46" spans="1:31" ht="12.75" customHeight="1" x14ac:dyDescent="0.2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</row>
    <row r="47" spans="1:31" ht="12.75" customHeight="1" x14ac:dyDescent="0.2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</row>
    <row r="48" spans="1:31" ht="12.75" customHeight="1" x14ac:dyDescent="0.2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</row>
    <row r="49" spans="1:31" ht="12.75" customHeight="1" x14ac:dyDescent="0.2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</row>
    <row r="50" spans="1:31" ht="12.75" customHeight="1" x14ac:dyDescent="0.2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</row>
    <row r="51" spans="1:31" ht="12.75" customHeight="1" x14ac:dyDescent="0.2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</row>
    <row r="52" spans="1:31" ht="12.75" customHeight="1" x14ac:dyDescent="0.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</row>
    <row r="53" spans="1:31" ht="12.75" customHeight="1" x14ac:dyDescent="0.2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</row>
    <row r="54" spans="1:31" ht="12.75" customHeight="1" x14ac:dyDescent="0.2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</row>
    <row r="55" spans="1:31" ht="12.75" customHeight="1" x14ac:dyDescent="0.2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</row>
    <row r="56" spans="1:31" ht="12.75" customHeight="1" x14ac:dyDescent="0.2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</row>
    <row r="57" spans="1:31" ht="12.75" customHeight="1" x14ac:dyDescent="0.2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</row>
    <row r="58" spans="1:31" ht="12.75" customHeight="1" x14ac:dyDescent="0.2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</row>
    <row r="59" spans="1:31" ht="12.75" customHeight="1" x14ac:dyDescent="0.2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</row>
    <row r="60" spans="1:31" ht="12.75" customHeight="1" x14ac:dyDescent="0.2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</row>
    <row r="61" spans="1:31" ht="12.75" customHeight="1" x14ac:dyDescent="0.2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</row>
    <row r="62" spans="1:31" ht="12.75" customHeight="1" x14ac:dyDescent="0.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</row>
    <row r="63" spans="1:31" ht="12.75" customHeight="1" x14ac:dyDescent="0.2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</row>
    <row r="64" spans="1:31" ht="12.75" customHeight="1" x14ac:dyDescent="0.2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</row>
    <row r="65" spans="1:31" ht="12.75" customHeight="1" x14ac:dyDescent="0.2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</row>
    <row r="66" spans="1:31" ht="12.75" customHeight="1" x14ac:dyDescent="0.2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</row>
    <row r="67" spans="1:31" ht="12.75" customHeight="1" x14ac:dyDescent="0.2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</row>
    <row r="68" spans="1:31" ht="12.75" customHeight="1" x14ac:dyDescent="0.2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</row>
    <row r="69" spans="1:31" ht="12.75" customHeight="1" x14ac:dyDescent="0.2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</row>
    <row r="70" spans="1:31" ht="12.75" customHeight="1" x14ac:dyDescent="0.2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</row>
    <row r="71" spans="1:31" ht="12.75" customHeight="1" x14ac:dyDescent="0.2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</row>
    <row r="72" spans="1:31" ht="12.75" customHeight="1" x14ac:dyDescent="0.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</row>
    <row r="73" spans="1:31" ht="12.75" customHeight="1" x14ac:dyDescent="0.2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</row>
    <row r="74" spans="1:31" ht="12.75" customHeight="1" x14ac:dyDescent="0.2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</row>
    <row r="75" spans="1:31" ht="12.75" customHeight="1" x14ac:dyDescent="0.2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</row>
    <row r="76" spans="1:31" ht="12.75" customHeight="1" x14ac:dyDescent="0.2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</row>
    <row r="77" spans="1:31" ht="12.75" customHeight="1" x14ac:dyDescent="0.2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</row>
    <row r="78" spans="1:31" ht="12.75" customHeight="1" x14ac:dyDescent="0.2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</row>
    <row r="79" spans="1:31" ht="12.75" customHeight="1" x14ac:dyDescent="0.2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</row>
    <row r="80" spans="1:31" ht="12.75" customHeight="1" x14ac:dyDescent="0.2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</row>
    <row r="81" spans="1:31" ht="12.75" customHeight="1" x14ac:dyDescent="0.2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</row>
    <row r="82" spans="1:31" ht="12.75" customHeight="1" x14ac:dyDescent="0.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</row>
    <row r="83" spans="1:31" ht="12.75" customHeight="1" x14ac:dyDescent="0.2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</row>
    <row r="84" spans="1:31" ht="12.75" customHeight="1" x14ac:dyDescent="0.2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</row>
    <row r="85" spans="1:31" ht="12.75" customHeight="1" x14ac:dyDescent="0.2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</row>
    <row r="86" spans="1:31" ht="12.75" customHeight="1" x14ac:dyDescent="0.2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</row>
    <row r="87" spans="1:31" ht="12.75" customHeight="1" x14ac:dyDescent="0.2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</row>
    <row r="88" spans="1:31" ht="12.75" customHeight="1" x14ac:dyDescent="0.2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</row>
    <row r="89" spans="1:31" ht="12.75" customHeight="1" x14ac:dyDescent="0.2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</row>
    <row r="90" spans="1:31" ht="12.75" customHeight="1" x14ac:dyDescent="0.2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</row>
    <row r="91" spans="1:31" ht="12.75" customHeight="1" x14ac:dyDescent="0.2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</row>
    <row r="92" spans="1:31" ht="12.75" customHeight="1" x14ac:dyDescent="0.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</row>
    <row r="93" spans="1:31" ht="12.75" customHeight="1" x14ac:dyDescent="0.2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</row>
    <row r="94" spans="1:31" ht="12.75" customHeight="1" x14ac:dyDescent="0.2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</row>
    <row r="95" spans="1:31" ht="12.75" customHeight="1" x14ac:dyDescent="0.2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</row>
    <row r="96" spans="1:31" ht="12.75" customHeight="1" x14ac:dyDescent="0.2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</row>
    <row r="97" spans="1:31" ht="12.75" customHeight="1" x14ac:dyDescent="0.2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</row>
    <row r="98" spans="1:31" ht="12.75" customHeight="1" x14ac:dyDescent="0.2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</row>
    <row r="99" spans="1:31" ht="12.75" customHeight="1" x14ac:dyDescent="0.2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</row>
    <row r="100" spans="1:31" ht="12.75" customHeight="1" x14ac:dyDescent="0.2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</row>
    <row r="101" spans="1:31" ht="12.75" customHeight="1" x14ac:dyDescent="0.2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</row>
    <row r="102" spans="1:31" ht="12.75" customHeight="1" x14ac:dyDescent="0.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</row>
    <row r="103" spans="1:31" ht="12.75" customHeight="1" x14ac:dyDescent="0.2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</row>
    <row r="104" spans="1:31" ht="12.75" customHeight="1" x14ac:dyDescent="0.2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</row>
    <row r="105" spans="1:31" ht="12.75" customHeight="1" x14ac:dyDescent="0.2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</row>
    <row r="106" spans="1:31" ht="12.75" customHeight="1" x14ac:dyDescent="0.2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</row>
    <row r="107" spans="1:31" ht="12.75" customHeight="1" x14ac:dyDescent="0.2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</row>
    <row r="108" spans="1:31" ht="12.75" customHeight="1" x14ac:dyDescent="0.2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</row>
    <row r="109" spans="1:31" ht="15.75" customHeight="1" x14ac:dyDescent="0.2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</row>
    <row r="110" spans="1:31" ht="15.75" customHeight="1" x14ac:dyDescent="0.2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</row>
    <row r="111" spans="1:31" ht="15.75" customHeight="1" x14ac:dyDescent="0.2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</row>
    <row r="112" spans="1:31" ht="15.75" customHeight="1" x14ac:dyDescent="0.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</row>
    <row r="113" spans="1:31" ht="15.75" customHeight="1" x14ac:dyDescent="0.2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</row>
    <row r="114" spans="1:31" ht="15.75" customHeight="1" x14ac:dyDescent="0.2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</row>
    <row r="115" spans="1:31" ht="15.75" customHeight="1" x14ac:dyDescent="0.2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</row>
    <row r="116" spans="1:31" ht="15.75" customHeight="1" x14ac:dyDescent="0.2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</row>
    <row r="117" spans="1:31" ht="15.75" customHeight="1" x14ac:dyDescent="0.2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</row>
    <row r="118" spans="1:31" ht="15.75" customHeight="1" x14ac:dyDescent="0.2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</row>
    <row r="119" spans="1:31" ht="15.75" customHeight="1" x14ac:dyDescent="0.2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</row>
    <row r="120" spans="1:31" ht="15.75" customHeight="1" x14ac:dyDescent="0.2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</row>
    <row r="121" spans="1:31" ht="15.75" customHeight="1" x14ac:dyDescent="0.2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</row>
    <row r="122" spans="1:31" ht="15.75" customHeight="1" x14ac:dyDescent="0.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</row>
    <row r="123" spans="1:31" ht="15.75" customHeight="1" x14ac:dyDescent="0.2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</row>
    <row r="124" spans="1:31" ht="15.75" customHeight="1" x14ac:dyDescent="0.2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</row>
    <row r="125" spans="1:31" ht="15.75" customHeight="1" x14ac:dyDescent="0.2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</row>
    <row r="126" spans="1:31" ht="15.75" customHeight="1" x14ac:dyDescent="0.2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</row>
    <row r="127" spans="1:31" ht="15.75" customHeight="1" x14ac:dyDescent="0.2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</row>
    <row r="128" spans="1:31" ht="15.75" customHeight="1" x14ac:dyDescent="0.2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</row>
    <row r="129" spans="1:31" ht="15.75" customHeight="1" x14ac:dyDescent="0.2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</row>
    <row r="130" spans="1:31" ht="15.75" customHeight="1" x14ac:dyDescent="0.2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</row>
    <row r="131" spans="1:31" ht="15.75" customHeight="1" x14ac:dyDescent="0.2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</row>
    <row r="132" spans="1:31" ht="15.75" customHeight="1" x14ac:dyDescent="0.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</row>
    <row r="133" spans="1:31" ht="15.75" customHeight="1" x14ac:dyDescent="0.2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</row>
    <row r="134" spans="1:31" ht="15.75" customHeight="1" x14ac:dyDescent="0.2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</row>
    <row r="135" spans="1:31" ht="15.75" customHeight="1" x14ac:dyDescent="0.2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</row>
    <row r="136" spans="1:31" ht="15.75" customHeight="1" x14ac:dyDescent="0.2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</row>
    <row r="137" spans="1:31" ht="15.75" customHeight="1" x14ac:dyDescent="0.2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</row>
    <row r="138" spans="1:31" ht="15.75" customHeight="1" x14ac:dyDescent="0.2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</row>
    <row r="139" spans="1:31" ht="15.75" customHeight="1" x14ac:dyDescent="0.2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</row>
    <row r="140" spans="1:31" ht="15.75" customHeight="1" x14ac:dyDescent="0.2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</row>
    <row r="141" spans="1:31" ht="15.75" customHeight="1" x14ac:dyDescent="0.2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</row>
    <row r="142" spans="1:31" ht="15.75" customHeight="1" x14ac:dyDescent="0.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</row>
    <row r="143" spans="1:31" ht="15.75" customHeight="1" x14ac:dyDescent="0.2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</row>
    <row r="144" spans="1:31" ht="15.75" customHeight="1" x14ac:dyDescent="0.2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</row>
    <row r="145" spans="1:31" ht="15.75" customHeight="1" x14ac:dyDescent="0.2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</row>
    <row r="146" spans="1:31" ht="15.75" customHeight="1" x14ac:dyDescent="0.2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</row>
    <row r="147" spans="1:31" ht="15.75" customHeight="1" x14ac:dyDescent="0.2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</row>
    <row r="148" spans="1:31" ht="15.75" customHeight="1" x14ac:dyDescent="0.2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</row>
    <row r="149" spans="1:31" ht="15.75" customHeight="1" x14ac:dyDescent="0.2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</row>
    <row r="150" spans="1:31" ht="15.75" customHeight="1" x14ac:dyDescent="0.2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</row>
    <row r="151" spans="1:31" ht="15.75" customHeight="1" x14ac:dyDescent="0.2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</row>
    <row r="152" spans="1:31" ht="15.75" customHeight="1" x14ac:dyDescent="0.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</row>
    <row r="153" spans="1:31" ht="15.75" customHeight="1" x14ac:dyDescent="0.2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</row>
    <row r="154" spans="1:31" ht="15.75" customHeight="1" x14ac:dyDescent="0.2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</row>
    <row r="155" spans="1:31" ht="15.75" customHeight="1" x14ac:dyDescent="0.2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</row>
    <row r="156" spans="1:31" ht="15.75" customHeight="1" x14ac:dyDescent="0.2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</row>
    <row r="157" spans="1:31" ht="15.75" customHeight="1" x14ac:dyDescent="0.2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</row>
    <row r="158" spans="1:31" ht="15.75" customHeight="1" x14ac:dyDescent="0.2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</row>
    <row r="159" spans="1:31" ht="15.75" customHeight="1" x14ac:dyDescent="0.2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</row>
    <row r="160" spans="1:31" ht="15.75" customHeight="1" x14ac:dyDescent="0.2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</row>
    <row r="161" spans="1:31" ht="15.75" customHeight="1" x14ac:dyDescent="0.2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</row>
    <row r="162" spans="1:31" ht="15.75" customHeight="1" x14ac:dyDescent="0.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</row>
    <row r="163" spans="1:31" ht="15.75" customHeight="1" x14ac:dyDescent="0.2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</row>
    <row r="164" spans="1:31" ht="15.75" customHeight="1" x14ac:dyDescent="0.2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</row>
    <row r="165" spans="1:31" ht="15.75" customHeight="1" x14ac:dyDescent="0.2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</row>
    <row r="166" spans="1:31" ht="15.75" customHeight="1" x14ac:dyDescent="0.2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</row>
    <row r="167" spans="1:31" ht="15.75" customHeight="1" x14ac:dyDescent="0.2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</row>
    <row r="168" spans="1:31" ht="15.75" customHeight="1" x14ac:dyDescent="0.2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</row>
    <row r="169" spans="1:31" ht="15.75" customHeight="1" x14ac:dyDescent="0.2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</row>
    <row r="170" spans="1:31" ht="15.75" customHeight="1" x14ac:dyDescent="0.2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</row>
    <row r="171" spans="1:31" ht="15.75" customHeight="1" x14ac:dyDescent="0.2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</row>
    <row r="172" spans="1:31" ht="15.75" customHeight="1" x14ac:dyDescent="0.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</row>
    <row r="173" spans="1:31" ht="15.75" customHeight="1" x14ac:dyDescent="0.2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</row>
    <row r="174" spans="1:31" ht="15.75" customHeight="1" x14ac:dyDescent="0.2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</row>
    <row r="175" spans="1:31" ht="15.75" customHeight="1" x14ac:dyDescent="0.2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</row>
    <row r="176" spans="1:31" ht="15.75" customHeight="1" x14ac:dyDescent="0.2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</row>
    <row r="177" spans="1:31" ht="15.75" customHeight="1" x14ac:dyDescent="0.2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</row>
    <row r="178" spans="1:31" ht="15.75" customHeight="1" x14ac:dyDescent="0.2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</row>
    <row r="179" spans="1:31" ht="15.75" customHeight="1" x14ac:dyDescent="0.2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</row>
    <row r="180" spans="1:31" ht="15.75" customHeight="1" x14ac:dyDescent="0.2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</row>
    <row r="181" spans="1:31" ht="15.75" customHeight="1" x14ac:dyDescent="0.2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</row>
    <row r="182" spans="1:31" ht="15.75" customHeight="1" x14ac:dyDescent="0.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</row>
    <row r="183" spans="1:31" ht="15.75" customHeight="1" x14ac:dyDescent="0.2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</row>
    <row r="184" spans="1:31" ht="15.75" customHeight="1" x14ac:dyDescent="0.2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</row>
    <row r="185" spans="1:31" ht="15.75" customHeight="1" x14ac:dyDescent="0.2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</row>
    <row r="186" spans="1:31" ht="15.75" customHeight="1" x14ac:dyDescent="0.2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</row>
    <row r="187" spans="1:31" ht="15.75" customHeight="1" x14ac:dyDescent="0.2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</row>
    <row r="188" spans="1:31" ht="15.75" customHeight="1" x14ac:dyDescent="0.2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</row>
    <row r="189" spans="1:31" ht="15.75" customHeight="1" x14ac:dyDescent="0.2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</row>
    <row r="190" spans="1:31" ht="15.75" customHeight="1" x14ac:dyDescent="0.2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</row>
    <row r="191" spans="1:31" ht="15.75" customHeight="1" x14ac:dyDescent="0.2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</row>
    <row r="192" spans="1:31" ht="15.75" customHeight="1" x14ac:dyDescent="0.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</row>
    <row r="193" spans="1:31" ht="15.75" customHeight="1" x14ac:dyDescent="0.2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</row>
    <row r="194" spans="1:31" ht="15.75" customHeight="1" x14ac:dyDescent="0.2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</row>
    <row r="195" spans="1:31" ht="15.75" customHeight="1" x14ac:dyDescent="0.2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</row>
    <row r="196" spans="1:31" ht="15.75" customHeight="1" x14ac:dyDescent="0.2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</row>
    <row r="197" spans="1:31" ht="15.75" customHeight="1" x14ac:dyDescent="0.2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</row>
    <row r="198" spans="1:31" ht="15.75" customHeight="1" x14ac:dyDescent="0.2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</row>
    <row r="199" spans="1:31" ht="15.75" customHeight="1" x14ac:dyDescent="0.2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</row>
    <row r="200" spans="1:31" ht="15.75" customHeight="1" x14ac:dyDescent="0.2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</row>
    <row r="201" spans="1:31" ht="15.75" customHeight="1" x14ac:dyDescent="0.2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</row>
    <row r="202" spans="1:31" ht="15.75" customHeight="1" x14ac:dyDescent="0.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</row>
    <row r="203" spans="1:31" ht="15.75" customHeight="1" x14ac:dyDescent="0.2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</row>
    <row r="204" spans="1:31" ht="15.75" customHeight="1" x14ac:dyDescent="0.2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</row>
    <row r="205" spans="1:31" ht="15.75" customHeight="1" x14ac:dyDescent="0.2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</row>
    <row r="206" spans="1:31" ht="15.75" customHeight="1" x14ac:dyDescent="0.2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</row>
    <row r="207" spans="1:31" ht="15.75" customHeight="1" x14ac:dyDescent="0.2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</row>
    <row r="208" spans="1:31" ht="15.75" customHeight="1" x14ac:dyDescent="0.2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</row>
    <row r="209" spans="1:31" ht="15.75" customHeight="1" x14ac:dyDescent="0.2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</row>
    <row r="210" spans="1:31" ht="15.75" customHeight="1" x14ac:dyDescent="0.2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</row>
    <row r="211" spans="1:31" ht="15.75" customHeight="1" x14ac:dyDescent="0.2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</row>
    <row r="212" spans="1:31" ht="15.75" customHeight="1" x14ac:dyDescent="0.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</row>
    <row r="213" spans="1:31" ht="15.75" customHeight="1" x14ac:dyDescent="0.2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</row>
    <row r="214" spans="1:31" ht="15.75" customHeight="1" x14ac:dyDescent="0.2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</row>
    <row r="215" spans="1:31" ht="15.75" customHeight="1" x14ac:dyDescent="0.2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</row>
    <row r="216" spans="1:31" ht="15.75" customHeight="1" x14ac:dyDescent="0.2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</row>
    <row r="217" spans="1:31" ht="15.75" customHeight="1" x14ac:dyDescent="0.2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</row>
    <row r="218" spans="1:31" ht="15.75" customHeight="1" x14ac:dyDescent="0.2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</row>
    <row r="219" spans="1:31" ht="15.75" customHeight="1" x14ac:dyDescent="0.2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</row>
    <row r="220" spans="1:31" ht="15.75" customHeight="1" x14ac:dyDescent="0.2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</row>
    <row r="221" spans="1:31" ht="15.75" customHeight="1" x14ac:dyDescent="0.2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</row>
    <row r="222" spans="1:31" ht="15.75" customHeight="1" x14ac:dyDescent="0.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</row>
    <row r="223" spans="1:31" ht="15.75" customHeight="1" x14ac:dyDescent="0.2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</row>
    <row r="224" spans="1:31" ht="15.75" customHeight="1" x14ac:dyDescent="0.2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</row>
    <row r="225" spans="1:31" ht="15.75" customHeight="1" x14ac:dyDescent="0.2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</row>
    <row r="226" spans="1:31" ht="15.75" customHeight="1" x14ac:dyDescent="0.2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</row>
    <row r="227" spans="1:31" ht="15.75" customHeight="1" x14ac:dyDescent="0.2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</row>
    <row r="228" spans="1:31" ht="15.75" customHeight="1" x14ac:dyDescent="0.2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</row>
    <row r="229" spans="1:31" ht="15.75" customHeight="1" x14ac:dyDescent="0.2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</row>
    <row r="230" spans="1:31" ht="15.75" customHeight="1" x14ac:dyDescent="0.2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</row>
    <row r="231" spans="1:31" ht="15.75" customHeight="1" x14ac:dyDescent="0.2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</row>
    <row r="232" spans="1:31" ht="15.75" customHeight="1" x14ac:dyDescent="0.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</row>
    <row r="233" spans="1:31" ht="15.75" customHeight="1" x14ac:dyDescent="0.2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</row>
    <row r="234" spans="1:31" ht="15.75" customHeight="1" x14ac:dyDescent="0.2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</row>
    <row r="235" spans="1:31" ht="15.75" customHeight="1" x14ac:dyDescent="0.2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</row>
    <row r="236" spans="1:31" ht="15.75" customHeight="1" x14ac:dyDescent="0.2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</row>
    <row r="237" spans="1:31" ht="15.75" customHeight="1" x14ac:dyDescent="0.2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</row>
    <row r="238" spans="1:31" ht="15.75" customHeight="1" x14ac:dyDescent="0.2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</row>
    <row r="239" spans="1:31" ht="15.75" customHeight="1" x14ac:dyDescent="0.2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</row>
    <row r="240" spans="1:31" ht="15.75" customHeight="1" x14ac:dyDescent="0.2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</row>
    <row r="241" spans="1:31" ht="15.75" customHeight="1" x14ac:dyDescent="0.2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</row>
    <row r="242" spans="1:31" ht="15.75" customHeight="1" x14ac:dyDescent="0.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</row>
    <row r="243" spans="1:31" ht="15.75" customHeight="1" x14ac:dyDescent="0.2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</row>
    <row r="244" spans="1:31" ht="15.75" customHeight="1" x14ac:dyDescent="0.2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</row>
    <row r="245" spans="1:31" ht="15.75" customHeight="1" x14ac:dyDescent="0.2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</row>
    <row r="246" spans="1:31" ht="15.75" customHeight="1" x14ac:dyDescent="0.2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</row>
    <row r="247" spans="1:31" ht="15.75" customHeight="1" x14ac:dyDescent="0.2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</row>
    <row r="248" spans="1:31" ht="15.75" customHeight="1" x14ac:dyDescent="0.2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</row>
    <row r="249" spans="1:31" ht="15.75" customHeight="1" x14ac:dyDescent="0.2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</row>
    <row r="250" spans="1:31" ht="15.75" customHeight="1" x14ac:dyDescent="0.2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</row>
    <row r="251" spans="1:31" ht="15.75" customHeight="1" x14ac:dyDescent="0.2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</row>
    <row r="252" spans="1:31" ht="15.75" customHeight="1" x14ac:dyDescent="0.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</row>
    <row r="253" spans="1:31" ht="15.75" customHeight="1" x14ac:dyDescent="0.2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</row>
    <row r="254" spans="1:31" ht="15.75" customHeight="1" x14ac:dyDescent="0.2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</row>
    <row r="255" spans="1:31" ht="15.75" customHeight="1" x14ac:dyDescent="0.2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</row>
    <row r="256" spans="1:31" ht="15.75" customHeight="1" x14ac:dyDescent="0.2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</row>
    <row r="257" spans="1:31" ht="15.75" customHeight="1" x14ac:dyDescent="0.2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</row>
    <row r="258" spans="1:31" ht="15.75" customHeight="1" x14ac:dyDescent="0.2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</row>
    <row r="259" spans="1:31" ht="15.75" customHeight="1" x14ac:dyDescent="0.2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</row>
    <row r="260" spans="1:31" ht="15.75" customHeight="1" x14ac:dyDescent="0.2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</row>
    <row r="261" spans="1:31" ht="15.75" customHeight="1" x14ac:dyDescent="0.2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</row>
    <row r="262" spans="1:31" ht="15.75" customHeight="1" x14ac:dyDescent="0.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</row>
    <row r="263" spans="1:31" ht="15.75" customHeight="1" x14ac:dyDescent="0.2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</row>
    <row r="264" spans="1:31" ht="15.75" customHeight="1" x14ac:dyDescent="0.2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</row>
    <row r="265" spans="1:31" ht="15.75" customHeight="1" x14ac:dyDescent="0.2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</row>
    <row r="266" spans="1:31" ht="15.75" customHeight="1" x14ac:dyDescent="0.2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</row>
    <row r="267" spans="1:31" ht="15.75" customHeight="1" x14ac:dyDescent="0.2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</row>
    <row r="268" spans="1:31" ht="15.75" customHeight="1" x14ac:dyDescent="0.2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</row>
    <row r="269" spans="1:31" ht="15.75" customHeight="1" x14ac:dyDescent="0.2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</row>
    <row r="270" spans="1:31" ht="15.75" customHeight="1" x14ac:dyDescent="0.2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</row>
    <row r="271" spans="1:31" ht="15.75" customHeight="1" x14ac:dyDescent="0.2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</row>
    <row r="272" spans="1:31" ht="15.75" customHeight="1" x14ac:dyDescent="0.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</row>
    <row r="273" spans="1:31" ht="15.75" customHeight="1" x14ac:dyDescent="0.2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</row>
    <row r="274" spans="1:31" ht="15.75" customHeight="1" x14ac:dyDescent="0.2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</row>
    <row r="275" spans="1:31" ht="15.75" customHeight="1" x14ac:dyDescent="0.2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</row>
    <row r="276" spans="1:31" ht="15.75" customHeight="1" x14ac:dyDescent="0.2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</row>
    <row r="277" spans="1:31" ht="15.75" customHeight="1" x14ac:dyDescent="0.2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</row>
    <row r="278" spans="1:31" ht="15.75" customHeight="1" x14ac:dyDescent="0.2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</row>
    <row r="279" spans="1:31" ht="15.75" customHeight="1" x14ac:dyDescent="0.2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</row>
    <row r="280" spans="1:31" ht="15.75" customHeight="1" x14ac:dyDescent="0.2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</row>
    <row r="281" spans="1:31" ht="15.75" customHeight="1" x14ac:dyDescent="0.2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</row>
    <row r="282" spans="1:31" ht="15.75" customHeight="1" x14ac:dyDescent="0.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</row>
    <row r="283" spans="1:31" ht="15.75" customHeight="1" x14ac:dyDescent="0.2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</row>
    <row r="284" spans="1:31" ht="15.75" customHeight="1" x14ac:dyDescent="0.2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</row>
    <row r="285" spans="1:31" ht="15.75" customHeight="1" x14ac:dyDescent="0.2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</row>
    <row r="286" spans="1:31" ht="15.75" customHeight="1" x14ac:dyDescent="0.2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</row>
    <row r="287" spans="1:31" ht="15.75" customHeight="1" x14ac:dyDescent="0.2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</row>
    <row r="288" spans="1:31" ht="15.75" customHeight="1" x14ac:dyDescent="0.2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</row>
    <row r="289" spans="1:31" ht="15.75" customHeight="1" x14ac:dyDescent="0.2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</row>
    <row r="290" spans="1:31" ht="15.75" customHeight="1" x14ac:dyDescent="0.2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</row>
    <row r="291" spans="1:31" ht="15.75" customHeight="1" x14ac:dyDescent="0.2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</row>
    <row r="292" spans="1:31" ht="15.75" customHeight="1" x14ac:dyDescent="0.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</row>
    <row r="293" spans="1:31" ht="15.75" customHeight="1" x14ac:dyDescent="0.2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</row>
    <row r="294" spans="1:31" ht="15.75" customHeight="1" x14ac:dyDescent="0.2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</row>
    <row r="295" spans="1:31" ht="15.75" customHeight="1" x14ac:dyDescent="0.2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</row>
    <row r="296" spans="1:31" ht="15.75" customHeight="1" x14ac:dyDescent="0.2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</row>
    <row r="297" spans="1:31" ht="15.75" customHeight="1" x14ac:dyDescent="0.2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</row>
    <row r="298" spans="1:31" ht="15.75" customHeight="1" x14ac:dyDescent="0.2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</row>
    <row r="299" spans="1:31" ht="15.75" customHeight="1" x14ac:dyDescent="0.2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</row>
    <row r="300" spans="1:31" ht="15.75" customHeight="1" x14ac:dyDescent="0.2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</row>
    <row r="301" spans="1:31" ht="15.75" customHeight="1" x14ac:dyDescent="0.2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</row>
    <row r="302" spans="1:31" ht="15.75" customHeight="1" x14ac:dyDescent="0.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</row>
    <row r="303" spans="1:31" ht="15.75" customHeight="1" x14ac:dyDescent="0.2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</row>
    <row r="304" spans="1:31" ht="15.75" customHeight="1" x14ac:dyDescent="0.2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</row>
    <row r="305" spans="1:31" ht="15.75" customHeight="1" x14ac:dyDescent="0.2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</row>
    <row r="306" spans="1:31" ht="15.75" customHeight="1" x14ac:dyDescent="0.2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</row>
    <row r="307" spans="1:31" ht="15.75" customHeight="1" x14ac:dyDescent="0.2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</row>
    <row r="308" spans="1:31" ht="15.75" customHeight="1" x14ac:dyDescent="0.2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</row>
    <row r="309" spans="1:31" ht="15.75" customHeight="1" x14ac:dyDescent="0.2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</row>
    <row r="310" spans="1:31" ht="15.75" customHeight="1" x14ac:dyDescent="0.2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</row>
    <row r="311" spans="1:31" ht="15.75" customHeight="1" x14ac:dyDescent="0.2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</row>
    <row r="312" spans="1:31" ht="15.75" customHeight="1" x14ac:dyDescent="0.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</row>
    <row r="313" spans="1:31" ht="15.75" customHeight="1" x14ac:dyDescent="0.2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</row>
    <row r="314" spans="1:31" ht="15.75" customHeight="1" x14ac:dyDescent="0.2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</row>
    <row r="315" spans="1:31" ht="15.75" customHeight="1" x14ac:dyDescent="0.2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</row>
    <row r="316" spans="1:31" ht="15.75" customHeight="1" x14ac:dyDescent="0.2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</row>
    <row r="317" spans="1:31" ht="15.75" customHeight="1" x14ac:dyDescent="0.2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</row>
    <row r="318" spans="1:31" ht="15.75" customHeight="1" x14ac:dyDescent="0.2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</row>
    <row r="319" spans="1:31" ht="15.75" customHeight="1" x14ac:dyDescent="0.2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</row>
    <row r="320" spans="1:31" ht="15.75" customHeight="1" x14ac:dyDescent="0.2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</row>
    <row r="321" spans="1:31" ht="15.75" customHeight="1" x14ac:dyDescent="0.2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</row>
    <row r="322" spans="1:31" ht="15.75" customHeight="1" x14ac:dyDescent="0.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</row>
    <row r="323" spans="1:31" ht="15.75" customHeight="1" x14ac:dyDescent="0.2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</row>
    <row r="324" spans="1:31" ht="15.75" customHeight="1" x14ac:dyDescent="0.2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</row>
    <row r="325" spans="1:31" ht="15.75" customHeight="1" x14ac:dyDescent="0.2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</row>
    <row r="326" spans="1:31" ht="15.75" customHeight="1" x14ac:dyDescent="0.2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</row>
    <row r="327" spans="1:31" ht="15.75" customHeight="1" x14ac:dyDescent="0.2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</row>
    <row r="328" spans="1:31" ht="15.75" customHeight="1" x14ac:dyDescent="0.2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</row>
    <row r="329" spans="1:31" ht="15.75" customHeight="1" x14ac:dyDescent="0.2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</row>
    <row r="330" spans="1:31" ht="15.75" customHeight="1" x14ac:dyDescent="0.2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</row>
    <row r="331" spans="1:31" ht="15.75" customHeight="1" x14ac:dyDescent="0.2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</row>
    <row r="332" spans="1:31" ht="15.75" customHeight="1" x14ac:dyDescent="0.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</row>
    <row r="333" spans="1:31" ht="15.75" customHeight="1" x14ac:dyDescent="0.2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</row>
    <row r="334" spans="1:31" ht="15.75" customHeight="1" x14ac:dyDescent="0.2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</row>
    <row r="335" spans="1:31" ht="15.75" customHeight="1" x14ac:dyDescent="0.2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</row>
    <row r="336" spans="1:31" ht="15.75" customHeight="1" x14ac:dyDescent="0.2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</row>
    <row r="337" spans="1:31" ht="15.75" customHeight="1" x14ac:dyDescent="0.2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</row>
    <row r="338" spans="1:31" ht="15.75" customHeight="1" x14ac:dyDescent="0.2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</row>
    <row r="339" spans="1:31" ht="15.75" customHeight="1" x14ac:dyDescent="0.2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</row>
    <row r="340" spans="1:31" ht="15.75" customHeight="1" x14ac:dyDescent="0.2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</row>
    <row r="341" spans="1:31" ht="15.75" customHeight="1" x14ac:dyDescent="0.2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</row>
    <row r="342" spans="1:31" ht="15.75" customHeight="1" x14ac:dyDescent="0.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</row>
    <row r="343" spans="1:31" ht="15.75" customHeight="1" x14ac:dyDescent="0.2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</row>
    <row r="344" spans="1:31" ht="15.75" customHeight="1" x14ac:dyDescent="0.2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</row>
    <row r="345" spans="1:31" ht="15.75" customHeight="1" x14ac:dyDescent="0.2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</row>
    <row r="346" spans="1:31" ht="15.75" customHeight="1" x14ac:dyDescent="0.2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</row>
    <row r="347" spans="1:31" ht="15.75" customHeight="1" x14ac:dyDescent="0.2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</row>
    <row r="348" spans="1:31" ht="15.75" customHeight="1" x14ac:dyDescent="0.2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</row>
    <row r="349" spans="1:31" ht="15.75" customHeight="1" x14ac:dyDescent="0.2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</row>
    <row r="350" spans="1:31" ht="15.75" customHeight="1" x14ac:dyDescent="0.2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</row>
    <row r="351" spans="1:31" ht="15.75" customHeight="1" x14ac:dyDescent="0.2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</row>
    <row r="352" spans="1:31" ht="15.75" customHeight="1" x14ac:dyDescent="0.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</row>
    <row r="353" spans="1:31" ht="15.75" customHeight="1" x14ac:dyDescent="0.2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</row>
    <row r="354" spans="1:31" ht="15.75" customHeight="1" x14ac:dyDescent="0.2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</row>
    <row r="355" spans="1:31" ht="15.75" customHeight="1" x14ac:dyDescent="0.2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</row>
    <row r="356" spans="1:31" ht="15.75" customHeight="1" x14ac:dyDescent="0.2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</row>
    <row r="357" spans="1:31" ht="15.75" customHeight="1" x14ac:dyDescent="0.2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</row>
    <row r="358" spans="1:31" ht="15.75" customHeight="1" x14ac:dyDescent="0.2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</row>
    <row r="359" spans="1:31" ht="15.75" customHeight="1" x14ac:dyDescent="0.2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</row>
    <row r="360" spans="1:31" ht="15.75" customHeight="1" x14ac:dyDescent="0.2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</row>
    <row r="361" spans="1:31" ht="15.75" customHeight="1" x14ac:dyDescent="0.2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</row>
    <row r="362" spans="1:31" ht="15.75" customHeight="1" x14ac:dyDescent="0.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</row>
    <row r="363" spans="1:31" ht="15.75" customHeight="1" x14ac:dyDescent="0.2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</row>
    <row r="364" spans="1:31" ht="15.75" customHeight="1" x14ac:dyDescent="0.2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</row>
    <row r="365" spans="1:31" ht="15.75" customHeight="1" x14ac:dyDescent="0.2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</row>
    <row r="366" spans="1:31" ht="15.75" customHeight="1" x14ac:dyDescent="0.2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</row>
    <row r="367" spans="1:31" ht="15.75" customHeight="1" x14ac:dyDescent="0.2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</row>
    <row r="368" spans="1:31" ht="15.75" customHeight="1" x14ac:dyDescent="0.2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</row>
    <row r="369" spans="1:31" ht="15.75" customHeight="1" x14ac:dyDescent="0.2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</row>
    <row r="370" spans="1:31" ht="15.75" customHeight="1" x14ac:dyDescent="0.2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</row>
    <row r="371" spans="1:31" ht="15.75" customHeight="1" x14ac:dyDescent="0.2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</row>
    <row r="372" spans="1:31" ht="15.75" customHeight="1" x14ac:dyDescent="0.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</row>
    <row r="373" spans="1:31" ht="15.75" customHeight="1" x14ac:dyDescent="0.2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</row>
    <row r="374" spans="1:31" ht="15.75" customHeight="1" x14ac:dyDescent="0.2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</row>
    <row r="375" spans="1:31" ht="15.75" customHeight="1" x14ac:dyDescent="0.2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</row>
    <row r="376" spans="1:31" ht="15.75" customHeight="1" x14ac:dyDescent="0.2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</row>
    <row r="377" spans="1:31" ht="15.75" customHeight="1" x14ac:dyDescent="0.2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</row>
    <row r="378" spans="1:31" ht="15.75" customHeight="1" x14ac:dyDescent="0.2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</row>
    <row r="379" spans="1:31" ht="15.75" customHeight="1" x14ac:dyDescent="0.2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</row>
    <row r="380" spans="1:31" ht="15.75" customHeight="1" x14ac:dyDescent="0.2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</row>
    <row r="381" spans="1:31" ht="15.75" customHeight="1" x14ac:dyDescent="0.2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</row>
    <row r="382" spans="1:31" ht="15.75" customHeight="1" x14ac:dyDescent="0.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</row>
    <row r="383" spans="1:31" ht="15.75" customHeight="1" x14ac:dyDescent="0.2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</row>
    <row r="384" spans="1:31" ht="15.75" customHeight="1" x14ac:dyDescent="0.2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</row>
    <row r="385" spans="1:31" ht="15.75" customHeight="1" x14ac:dyDescent="0.2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</row>
    <row r="386" spans="1:31" ht="15.75" customHeight="1" x14ac:dyDescent="0.2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</row>
    <row r="387" spans="1:31" ht="15.75" customHeight="1" x14ac:dyDescent="0.2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</row>
    <row r="388" spans="1:31" ht="15.75" customHeight="1" x14ac:dyDescent="0.2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</row>
    <row r="389" spans="1:31" ht="15.75" customHeight="1" x14ac:dyDescent="0.2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</row>
    <row r="390" spans="1:31" ht="15.75" customHeight="1" x14ac:dyDescent="0.2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</row>
    <row r="391" spans="1:31" ht="15.75" customHeight="1" x14ac:dyDescent="0.2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</row>
    <row r="392" spans="1:31" ht="15.75" customHeight="1" x14ac:dyDescent="0.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</row>
    <row r="393" spans="1:31" ht="15.75" customHeight="1" x14ac:dyDescent="0.2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</row>
    <row r="394" spans="1:31" ht="15.75" customHeight="1" x14ac:dyDescent="0.2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</row>
    <row r="395" spans="1:31" ht="15.75" customHeight="1" x14ac:dyDescent="0.2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</row>
    <row r="396" spans="1:31" ht="15.75" customHeight="1" x14ac:dyDescent="0.2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</row>
    <row r="397" spans="1:31" ht="15.75" customHeight="1" x14ac:dyDescent="0.2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</row>
    <row r="398" spans="1:31" ht="15.75" customHeight="1" x14ac:dyDescent="0.2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</row>
    <row r="399" spans="1:31" ht="15.75" customHeight="1" x14ac:dyDescent="0.2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</row>
    <row r="400" spans="1:31" ht="15.75" customHeight="1" x14ac:dyDescent="0.2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</row>
    <row r="401" spans="1:31" ht="15.75" customHeight="1" x14ac:dyDescent="0.2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</row>
    <row r="402" spans="1:31" ht="15.75" customHeight="1" x14ac:dyDescent="0.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</row>
    <row r="403" spans="1:31" ht="15.75" customHeight="1" x14ac:dyDescent="0.2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</row>
    <row r="404" spans="1:31" ht="15.75" customHeight="1" x14ac:dyDescent="0.2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</row>
    <row r="405" spans="1:31" ht="15.75" customHeight="1" x14ac:dyDescent="0.2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</row>
    <row r="406" spans="1:31" ht="15.75" customHeight="1" x14ac:dyDescent="0.2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</row>
    <row r="407" spans="1:31" ht="15.75" customHeight="1" x14ac:dyDescent="0.2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</row>
    <row r="408" spans="1:31" ht="15.75" customHeight="1" x14ac:dyDescent="0.2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</row>
    <row r="409" spans="1:31" ht="15.75" customHeight="1" x14ac:dyDescent="0.2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</row>
    <row r="410" spans="1:31" ht="15.75" customHeight="1" x14ac:dyDescent="0.2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</row>
    <row r="411" spans="1:31" ht="15.75" customHeight="1" x14ac:dyDescent="0.2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</row>
    <row r="412" spans="1:31" ht="15.75" customHeight="1" x14ac:dyDescent="0.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</row>
    <row r="413" spans="1:31" ht="15.75" customHeight="1" x14ac:dyDescent="0.2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</row>
    <row r="414" spans="1:31" ht="15.75" customHeight="1" x14ac:dyDescent="0.2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</row>
    <row r="415" spans="1:31" ht="15.75" customHeight="1" x14ac:dyDescent="0.2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</row>
    <row r="416" spans="1:31" ht="15.75" customHeight="1" x14ac:dyDescent="0.2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</row>
    <row r="417" spans="1:31" ht="15.75" customHeight="1" x14ac:dyDescent="0.2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</row>
    <row r="418" spans="1:31" ht="15.75" customHeight="1" x14ac:dyDescent="0.2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</row>
    <row r="419" spans="1:31" ht="15.75" customHeight="1" x14ac:dyDescent="0.2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</row>
    <row r="420" spans="1:31" ht="15.75" customHeight="1" x14ac:dyDescent="0.2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</row>
    <row r="421" spans="1:31" ht="15.75" customHeight="1" x14ac:dyDescent="0.2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</row>
    <row r="422" spans="1:31" ht="15.75" customHeight="1" x14ac:dyDescent="0.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</row>
    <row r="423" spans="1:31" ht="15.75" customHeight="1" x14ac:dyDescent="0.2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</row>
    <row r="424" spans="1:31" ht="15.75" customHeight="1" x14ac:dyDescent="0.2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</row>
    <row r="425" spans="1:31" ht="15.75" customHeight="1" x14ac:dyDescent="0.2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</row>
    <row r="426" spans="1:31" ht="15.75" customHeight="1" x14ac:dyDescent="0.2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</row>
    <row r="427" spans="1:31" ht="15.75" customHeight="1" x14ac:dyDescent="0.2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</row>
    <row r="428" spans="1:31" ht="15.75" customHeight="1" x14ac:dyDescent="0.2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</row>
    <row r="429" spans="1:31" ht="15.75" customHeight="1" x14ac:dyDescent="0.2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</row>
    <row r="430" spans="1:31" ht="15.75" customHeight="1" x14ac:dyDescent="0.2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</row>
    <row r="431" spans="1:31" ht="15.75" customHeight="1" x14ac:dyDescent="0.2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</row>
    <row r="432" spans="1:31" ht="15.75" customHeight="1" x14ac:dyDescent="0.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</row>
    <row r="433" spans="1:31" ht="15.75" customHeight="1" x14ac:dyDescent="0.2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</row>
    <row r="434" spans="1:31" ht="15.75" customHeight="1" x14ac:dyDescent="0.2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</row>
    <row r="435" spans="1:31" ht="15.75" customHeight="1" x14ac:dyDescent="0.2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</row>
    <row r="436" spans="1:31" ht="15.75" customHeight="1" x14ac:dyDescent="0.2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</row>
    <row r="437" spans="1:31" ht="15.75" customHeight="1" x14ac:dyDescent="0.2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</row>
    <row r="438" spans="1:31" ht="15.75" customHeight="1" x14ac:dyDescent="0.2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</row>
    <row r="439" spans="1:31" ht="15.75" customHeight="1" x14ac:dyDescent="0.2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</row>
    <row r="440" spans="1:31" ht="15.75" customHeight="1" x14ac:dyDescent="0.2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</row>
    <row r="441" spans="1:31" ht="15.75" customHeight="1" x14ac:dyDescent="0.2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</row>
    <row r="442" spans="1:31" ht="15.75" customHeight="1" x14ac:dyDescent="0.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</row>
    <row r="443" spans="1:31" ht="15.75" customHeight="1" x14ac:dyDescent="0.2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</row>
    <row r="444" spans="1:31" ht="15.75" customHeight="1" x14ac:dyDescent="0.2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</row>
    <row r="445" spans="1:31" ht="15.75" customHeight="1" x14ac:dyDescent="0.2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</row>
    <row r="446" spans="1:31" ht="15.75" customHeight="1" x14ac:dyDescent="0.2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</row>
    <row r="447" spans="1:31" ht="15.75" customHeight="1" x14ac:dyDescent="0.2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</row>
    <row r="448" spans="1:31" ht="15.75" customHeight="1" x14ac:dyDescent="0.2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</row>
    <row r="449" spans="1:31" ht="15.75" customHeight="1" x14ac:dyDescent="0.2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</row>
    <row r="450" spans="1:31" ht="15.75" customHeight="1" x14ac:dyDescent="0.2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</row>
    <row r="451" spans="1:31" ht="15.75" customHeight="1" x14ac:dyDescent="0.2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</row>
    <row r="452" spans="1:31" ht="15.75" customHeight="1" x14ac:dyDescent="0.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</row>
    <row r="453" spans="1:31" ht="15.75" customHeight="1" x14ac:dyDescent="0.2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</row>
    <row r="454" spans="1:31" ht="15.75" customHeight="1" x14ac:dyDescent="0.2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</row>
    <row r="455" spans="1:31" ht="15.75" customHeight="1" x14ac:dyDescent="0.2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</row>
    <row r="456" spans="1:31" ht="15.75" customHeight="1" x14ac:dyDescent="0.2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</row>
    <row r="457" spans="1:31" ht="15.75" customHeight="1" x14ac:dyDescent="0.2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</row>
    <row r="458" spans="1:31" ht="15.75" customHeight="1" x14ac:dyDescent="0.2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</row>
    <row r="459" spans="1:31" ht="15.75" customHeight="1" x14ac:dyDescent="0.2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</row>
    <row r="460" spans="1:31" ht="15.75" customHeight="1" x14ac:dyDescent="0.2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</row>
    <row r="461" spans="1:31" ht="15.75" customHeight="1" x14ac:dyDescent="0.2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</row>
    <row r="462" spans="1:31" ht="15.75" customHeight="1" x14ac:dyDescent="0.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</row>
    <row r="463" spans="1:31" ht="15.75" customHeight="1" x14ac:dyDescent="0.2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</row>
    <row r="464" spans="1:31" ht="15.75" customHeight="1" x14ac:dyDescent="0.2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</row>
    <row r="465" spans="1:31" ht="15.75" customHeight="1" x14ac:dyDescent="0.2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</row>
    <row r="466" spans="1:31" ht="15.75" customHeight="1" x14ac:dyDescent="0.2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</row>
    <row r="467" spans="1:31" ht="15.75" customHeight="1" x14ac:dyDescent="0.2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</row>
    <row r="468" spans="1:31" ht="15.75" customHeight="1" x14ac:dyDescent="0.2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</row>
    <row r="469" spans="1:31" ht="15.75" customHeight="1" x14ac:dyDescent="0.2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</row>
    <row r="470" spans="1:31" ht="15.75" customHeight="1" x14ac:dyDescent="0.2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</row>
    <row r="471" spans="1:31" ht="15.75" customHeight="1" x14ac:dyDescent="0.2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</row>
    <row r="472" spans="1:31" ht="15.75" customHeight="1" x14ac:dyDescent="0.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</row>
    <row r="473" spans="1:31" ht="15.75" customHeight="1" x14ac:dyDescent="0.2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</row>
    <row r="474" spans="1:31" ht="15.75" customHeight="1" x14ac:dyDescent="0.2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</row>
    <row r="475" spans="1:31" ht="15.75" customHeight="1" x14ac:dyDescent="0.2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</row>
    <row r="476" spans="1:31" ht="15.75" customHeight="1" x14ac:dyDescent="0.2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</row>
    <row r="477" spans="1:31" ht="15.75" customHeight="1" x14ac:dyDescent="0.2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</row>
    <row r="478" spans="1:31" ht="15.75" customHeight="1" x14ac:dyDescent="0.2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</row>
    <row r="479" spans="1:31" ht="15.75" customHeight="1" x14ac:dyDescent="0.2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</row>
    <row r="480" spans="1:31" ht="15.75" customHeight="1" x14ac:dyDescent="0.2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</row>
    <row r="481" spans="1:31" ht="15.75" customHeight="1" x14ac:dyDescent="0.2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</row>
    <row r="482" spans="1:31" ht="15.75" customHeight="1" x14ac:dyDescent="0.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</row>
    <row r="483" spans="1:31" ht="15.75" customHeight="1" x14ac:dyDescent="0.2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</row>
    <row r="484" spans="1:31" ht="15.75" customHeight="1" x14ac:dyDescent="0.2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</row>
    <row r="485" spans="1:31" ht="15.75" customHeight="1" x14ac:dyDescent="0.2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</row>
    <row r="486" spans="1:31" ht="15.75" customHeight="1" x14ac:dyDescent="0.2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</row>
    <row r="487" spans="1:31" ht="15.75" customHeight="1" x14ac:dyDescent="0.2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</row>
    <row r="488" spans="1:31" ht="15.75" customHeight="1" x14ac:dyDescent="0.2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</row>
    <row r="489" spans="1:31" ht="15.75" customHeight="1" x14ac:dyDescent="0.2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</row>
    <row r="490" spans="1:31" ht="15.75" customHeight="1" x14ac:dyDescent="0.2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</row>
    <row r="491" spans="1:31" ht="15.75" customHeight="1" x14ac:dyDescent="0.2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</row>
    <row r="492" spans="1:31" ht="15.75" customHeight="1" x14ac:dyDescent="0.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</row>
    <row r="493" spans="1:31" ht="15.75" customHeight="1" x14ac:dyDescent="0.2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</row>
    <row r="494" spans="1:31" ht="15.75" customHeight="1" x14ac:dyDescent="0.2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</row>
    <row r="495" spans="1:31" ht="15.75" customHeight="1" x14ac:dyDescent="0.2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</row>
    <row r="496" spans="1:31" ht="15.75" customHeight="1" x14ac:dyDescent="0.2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</row>
    <row r="497" spans="1:31" ht="15.75" customHeight="1" x14ac:dyDescent="0.2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</row>
    <row r="498" spans="1:31" ht="15.75" customHeight="1" x14ac:dyDescent="0.2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</row>
    <row r="499" spans="1:31" ht="15.75" customHeight="1" x14ac:dyDescent="0.2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</row>
    <row r="500" spans="1:31" ht="15.75" customHeight="1" x14ac:dyDescent="0.2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</row>
    <row r="501" spans="1:31" ht="15.75" customHeight="1" x14ac:dyDescent="0.2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</row>
    <row r="502" spans="1:31" ht="15.75" customHeight="1" x14ac:dyDescent="0.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</row>
    <row r="503" spans="1:31" ht="15.75" customHeight="1" x14ac:dyDescent="0.2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</row>
    <row r="504" spans="1:31" ht="15.75" customHeight="1" x14ac:dyDescent="0.2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</row>
    <row r="505" spans="1:31" ht="15.75" customHeight="1" x14ac:dyDescent="0.2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</row>
    <row r="506" spans="1:31" ht="15.75" customHeight="1" x14ac:dyDescent="0.2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</row>
    <row r="507" spans="1:31" ht="15.75" customHeight="1" x14ac:dyDescent="0.2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</row>
    <row r="508" spans="1:31" ht="15.75" customHeight="1" x14ac:dyDescent="0.2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</row>
    <row r="509" spans="1:31" ht="15.75" customHeight="1" x14ac:dyDescent="0.2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</row>
    <row r="510" spans="1:31" ht="15.75" customHeight="1" x14ac:dyDescent="0.2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</row>
    <row r="511" spans="1:31" ht="15.75" customHeight="1" x14ac:dyDescent="0.2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</row>
    <row r="512" spans="1:31" ht="15.75" customHeight="1" x14ac:dyDescent="0.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</row>
    <row r="513" spans="1:31" ht="15.75" customHeight="1" x14ac:dyDescent="0.2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</row>
    <row r="514" spans="1:31" ht="15.75" customHeight="1" x14ac:dyDescent="0.2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</row>
    <row r="515" spans="1:31" ht="15.75" customHeight="1" x14ac:dyDescent="0.2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</row>
    <row r="516" spans="1:31" ht="15.75" customHeight="1" x14ac:dyDescent="0.2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</row>
    <row r="517" spans="1:31" ht="15.75" customHeight="1" x14ac:dyDescent="0.2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</row>
    <row r="518" spans="1:31" ht="15.75" customHeight="1" x14ac:dyDescent="0.2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</row>
    <row r="519" spans="1:31" ht="15.75" customHeight="1" x14ac:dyDescent="0.2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</row>
    <row r="520" spans="1:31" ht="15.75" customHeight="1" x14ac:dyDescent="0.2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</row>
    <row r="521" spans="1:31" ht="15.75" customHeight="1" x14ac:dyDescent="0.2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</row>
    <row r="522" spans="1:31" ht="15.75" customHeight="1" x14ac:dyDescent="0.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</row>
    <row r="523" spans="1:31" ht="15.75" customHeight="1" x14ac:dyDescent="0.2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</row>
    <row r="524" spans="1:31" ht="15.75" customHeight="1" x14ac:dyDescent="0.2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</row>
    <row r="525" spans="1:31" ht="15.75" customHeight="1" x14ac:dyDescent="0.2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</row>
    <row r="526" spans="1:31" ht="15.75" customHeight="1" x14ac:dyDescent="0.2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</row>
    <row r="527" spans="1:31" ht="15.75" customHeight="1" x14ac:dyDescent="0.2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</row>
    <row r="528" spans="1:31" ht="15.75" customHeight="1" x14ac:dyDescent="0.2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</row>
    <row r="529" spans="1:31" ht="15.75" customHeight="1" x14ac:dyDescent="0.2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</row>
    <row r="530" spans="1:31" ht="15.75" customHeight="1" x14ac:dyDescent="0.2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</row>
    <row r="531" spans="1:31" ht="15.75" customHeight="1" x14ac:dyDescent="0.2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</row>
    <row r="532" spans="1:31" ht="15.75" customHeight="1" x14ac:dyDescent="0.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</row>
    <row r="533" spans="1:31" ht="15.75" customHeight="1" x14ac:dyDescent="0.2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</row>
    <row r="534" spans="1:31" ht="15.75" customHeight="1" x14ac:dyDescent="0.2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</row>
    <row r="535" spans="1:31" ht="15.75" customHeight="1" x14ac:dyDescent="0.2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</row>
    <row r="536" spans="1:31" ht="15.75" customHeight="1" x14ac:dyDescent="0.2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</row>
    <row r="537" spans="1:31" ht="15.75" customHeight="1" x14ac:dyDescent="0.2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</row>
    <row r="538" spans="1:31" ht="15.75" customHeight="1" x14ac:dyDescent="0.2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</row>
    <row r="539" spans="1:31" ht="15.75" customHeight="1" x14ac:dyDescent="0.2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</row>
    <row r="540" spans="1:31" ht="15.75" customHeight="1" x14ac:dyDescent="0.2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</row>
    <row r="541" spans="1:31" ht="15.75" customHeight="1" x14ac:dyDescent="0.2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</row>
    <row r="542" spans="1:31" ht="15.75" customHeight="1" x14ac:dyDescent="0.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</row>
    <row r="543" spans="1:31" ht="15.75" customHeight="1" x14ac:dyDescent="0.2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</row>
    <row r="544" spans="1:31" ht="15.75" customHeight="1" x14ac:dyDescent="0.2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</row>
    <row r="545" spans="1:31" ht="15.75" customHeight="1" x14ac:dyDescent="0.2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</row>
    <row r="546" spans="1:31" ht="15.75" customHeight="1" x14ac:dyDescent="0.2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</row>
    <row r="547" spans="1:31" ht="15.75" customHeight="1" x14ac:dyDescent="0.2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</row>
    <row r="548" spans="1:31" ht="15.75" customHeight="1" x14ac:dyDescent="0.2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</row>
    <row r="549" spans="1:31" ht="15.75" customHeight="1" x14ac:dyDescent="0.2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</row>
    <row r="550" spans="1:31" ht="15.75" customHeight="1" x14ac:dyDescent="0.2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</row>
    <row r="551" spans="1:31" ht="15.75" customHeight="1" x14ac:dyDescent="0.2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</row>
    <row r="552" spans="1:31" ht="15.75" customHeight="1" x14ac:dyDescent="0.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</row>
    <row r="553" spans="1:31" ht="15.75" customHeight="1" x14ac:dyDescent="0.2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</row>
    <row r="554" spans="1:31" ht="15.75" customHeight="1" x14ac:dyDescent="0.2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</row>
    <row r="555" spans="1:31" ht="15.75" customHeight="1" x14ac:dyDescent="0.2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</row>
    <row r="556" spans="1:31" ht="15.75" customHeight="1" x14ac:dyDescent="0.2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</row>
    <row r="557" spans="1:31" ht="15.75" customHeight="1" x14ac:dyDescent="0.2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</row>
    <row r="558" spans="1:31" ht="15.75" customHeight="1" x14ac:dyDescent="0.2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</row>
    <row r="559" spans="1:31" ht="15.75" customHeight="1" x14ac:dyDescent="0.2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</row>
    <row r="560" spans="1:31" ht="15.75" customHeight="1" x14ac:dyDescent="0.2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</row>
    <row r="561" spans="1:31" ht="15.75" customHeight="1" x14ac:dyDescent="0.2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</row>
    <row r="562" spans="1:31" ht="15.75" customHeight="1" x14ac:dyDescent="0.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</row>
    <row r="563" spans="1:31" ht="15.75" customHeight="1" x14ac:dyDescent="0.2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</row>
    <row r="564" spans="1:31" ht="15.75" customHeight="1" x14ac:dyDescent="0.2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</row>
    <row r="565" spans="1:31" ht="15.75" customHeight="1" x14ac:dyDescent="0.2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</row>
    <row r="566" spans="1:31" ht="15.75" customHeight="1" x14ac:dyDescent="0.2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</row>
    <row r="567" spans="1:31" ht="15.75" customHeight="1" x14ac:dyDescent="0.2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</row>
    <row r="568" spans="1:31" ht="15.75" customHeight="1" x14ac:dyDescent="0.2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</row>
    <row r="569" spans="1:31" ht="15.75" customHeight="1" x14ac:dyDescent="0.2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</row>
    <row r="570" spans="1:31" ht="15.75" customHeight="1" x14ac:dyDescent="0.2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</row>
    <row r="571" spans="1:31" ht="15.75" customHeight="1" x14ac:dyDescent="0.2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</row>
    <row r="572" spans="1:31" ht="15.75" customHeight="1" x14ac:dyDescent="0.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</row>
    <row r="573" spans="1:31" ht="15.75" customHeight="1" x14ac:dyDescent="0.2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</row>
    <row r="574" spans="1:31" ht="15.75" customHeight="1" x14ac:dyDescent="0.2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</row>
    <row r="575" spans="1:31" ht="15.75" customHeight="1" x14ac:dyDescent="0.2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</row>
    <row r="576" spans="1:31" ht="15.75" customHeight="1" x14ac:dyDescent="0.2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</row>
    <row r="577" spans="1:31" ht="15.75" customHeight="1" x14ac:dyDescent="0.2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</row>
    <row r="578" spans="1:31" ht="15.75" customHeight="1" x14ac:dyDescent="0.2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</row>
    <row r="579" spans="1:31" ht="15.75" customHeight="1" x14ac:dyDescent="0.2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</row>
    <row r="580" spans="1:31" ht="15.75" customHeight="1" x14ac:dyDescent="0.2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</row>
    <row r="581" spans="1:31" ht="15.75" customHeight="1" x14ac:dyDescent="0.2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</row>
    <row r="582" spans="1:31" ht="15.75" customHeight="1" x14ac:dyDescent="0.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</row>
    <row r="583" spans="1:31" ht="15.75" customHeight="1" x14ac:dyDescent="0.2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</row>
    <row r="584" spans="1:31" ht="15.75" customHeight="1" x14ac:dyDescent="0.2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</row>
    <row r="585" spans="1:31" ht="15.75" customHeight="1" x14ac:dyDescent="0.2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</row>
    <row r="586" spans="1:31" ht="15.75" customHeight="1" x14ac:dyDescent="0.2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</row>
    <row r="587" spans="1:31" ht="15.75" customHeight="1" x14ac:dyDescent="0.2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</row>
    <row r="588" spans="1:31" ht="15.75" customHeight="1" x14ac:dyDescent="0.2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</row>
    <row r="589" spans="1:31" ht="15.75" customHeight="1" x14ac:dyDescent="0.2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</row>
    <row r="590" spans="1:31" ht="15.75" customHeight="1" x14ac:dyDescent="0.2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</row>
    <row r="591" spans="1:31" ht="15.75" customHeight="1" x14ac:dyDescent="0.2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</row>
    <row r="592" spans="1:31" ht="15.75" customHeight="1" x14ac:dyDescent="0.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</row>
    <row r="593" spans="1:31" ht="15.75" customHeight="1" x14ac:dyDescent="0.2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</row>
    <row r="594" spans="1:31" ht="15.75" customHeight="1" x14ac:dyDescent="0.2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</row>
    <row r="595" spans="1:31" ht="15.75" customHeight="1" x14ac:dyDescent="0.2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</row>
    <row r="596" spans="1:31" ht="15.75" customHeight="1" x14ac:dyDescent="0.2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</row>
    <row r="597" spans="1:31" ht="15.75" customHeight="1" x14ac:dyDescent="0.2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</row>
    <row r="598" spans="1:31" ht="15.75" customHeight="1" x14ac:dyDescent="0.2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</row>
    <row r="599" spans="1:31" ht="15.75" customHeight="1" x14ac:dyDescent="0.2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</row>
    <row r="600" spans="1:31" ht="15.75" customHeight="1" x14ac:dyDescent="0.2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</row>
    <row r="601" spans="1:31" ht="15.75" customHeight="1" x14ac:dyDescent="0.2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</row>
    <row r="602" spans="1:31" ht="15.75" customHeight="1" x14ac:dyDescent="0.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</row>
    <row r="603" spans="1:31" ht="15.75" customHeight="1" x14ac:dyDescent="0.2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</row>
    <row r="604" spans="1:31" ht="15.75" customHeight="1" x14ac:dyDescent="0.2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</row>
    <row r="605" spans="1:31" ht="15.75" customHeight="1" x14ac:dyDescent="0.2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</row>
    <row r="606" spans="1:31" ht="15.75" customHeight="1" x14ac:dyDescent="0.2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</row>
    <row r="607" spans="1:31" ht="15.75" customHeight="1" x14ac:dyDescent="0.2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</row>
    <row r="608" spans="1:31" ht="15.75" customHeight="1" x14ac:dyDescent="0.2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</row>
    <row r="609" spans="1:31" ht="15.75" customHeight="1" x14ac:dyDescent="0.2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</row>
    <row r="610" spans="1:31" ht="15.75" customHeight="1" x14ac:dyDescent="0.2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</row>
    <row r="611" spans="1:31" ht="15.75" customHeight="1" x14ac:dyDescent="0.2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</row>
    <row r="612" spans="1:31" ht="15.75" customHeight="1" x14ac:dyDescent="0.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</row>
    <row r="613" spans="1:31" ht="15.75" customHeight="1" x14ac:dyDescent="0.2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</row>
    <row r="614" spans="1:31" ht="15.75" customHeight="1" x14ac:dyDescent="0.2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</row>
    <row r="615" spans="1:31" ht="15.75" customHeight="1" x14ac:dyDescent="0.2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</row>
    <row r="616" spans="1:31" ht="15.75" customHeight="1" x14ac:dyDescent="0.2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</row>
    <row r="617" spans="1:31" ht="15.75" customHeight="1" x14ac:dyDescent="0.2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</row>
    <row r="618" spans="1:31" ht="15.75" customHeight="1" x14ac:dyDescent="0.2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</row>
    <row r="619" spans="1:31" ht="15.75" customHeight="1" x14ac:dyDescent="0.2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</row>
    <row r="620" spans="1:31" ht="15.75" customHeight="1" x14ac:dyDescent="0.2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</row>
    <row r="621" spans="1:31" ht="15.75" customHeight="1" x14ac:dyDescent="0.2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</row>
    <row r="622" spans="1:31" ht="15.75" customHeight="1" x14ac:dyDescent="0.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</row>
    <row r="623" spans="1:31" ht="15.75" customHeight="1" x14ac:dyDescent="0.2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</row>
    <row r="624" spans="1:31" ht="15.75" customHeight="1" x14ac:dyDescent="0.2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</row>
    <row r="625" spans="1:31" ht="15.75" customHeight="1" x14ac:dyDescent="0.2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</row>
    <row r="626" spans="1:31" ht="15.75" customHeight="1" x14ac:dyDescent="0.2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</row>
    <row r="627" spans="1:31" ht="15.75" customHeight="1" x14ac:dyDescent="0.2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</row>
    <row r="628" spans="1:31" ht="15.75" customHeight="1" x14ac:dyDescent="0.2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</row>
    <row r="629" spans="1:31" ht="15.75" customHeight="1" x14ac:dyDescent="0.2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</row>
    <row r="630" spans="1:31" ht="15.75" customHeight="1" x14ac:dyDescent="0.2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</row>
    <row r="631" spans="1:31" ht="15.75" customHeight="1" x14ac:dyDescent="0.2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</row>
    <row r="632" spans="1:31" ht="15.75" customHeight="1" x14ac:dyDescent="0.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</row>
    <row r="633" spans="1:31" ht="15.75" customHeight="1" x14ac:dyDescent="0.2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</row>
    <row r="634" spans="1:31" ht="15.75" customHeight="1" x14ac:dyDescent="0.2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</row>
    <row r="635" spans="1:31" ht="15.75" customHeight="1" x14ac:dyDescent="0.2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</row>
    <row r="636" spans="1:31" ht="15.75" customHeight="1" x14ac:dyDescent="0.2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</row>
    <row r="637" spans="1:31" ht="15.75" customHeight="1" x14ac:dyDescent="0.2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</row>
    <row r="638" spans="1:31" ht="15.75" customHeight="1" x14ac:dyDescent="0.2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</row>
    <row r="639" spans="1:31" ht="15.75" customHeight="1" x14ac:dyDescent="0.2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</row>
    <row r="640" spans="1:31" ht="15.75" customHeight="1" x14ac:dyDescent="0.2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</row>
    <row r="641" spans="1:31" ht="15.75" customHeight="1" x14ac:dyDescent="0.2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</row>
    <row r="642" spans="1:31" ht="15.75" customHeight="1" x14ac:dyDescent="0.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</row>
    <row r="643" spans="1:31" ht="15.75" customHeight="1" x14ac:dyDescent="0.2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</row>
    <row r="644" spans="1:31" ht="15.75" customHeight="1" x14ac:dyDescent="0.2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</row>
    <row r="645" spans="1:31" ht="15.75" customHeight="1" x14ac:dyDescent="0.2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</row>
    <row r="646" spans="1:31" ht="15.75" customHeight="1" x14ac:dyDescent="0.2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</row>
    <row r="647" spans="1:31" ht="15.75" customHeight="1" x14ac:dyDescent="0.2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</row>
    <row r="648" spans="1:31" ht="15.75" customHeight="1" x14ac:dyDescent="0.2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</row>
    <row r="649" spans="1:31" ht="15.75" customHeight="1" x14ac:dyDescent="0.2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</row>
    <row r="650" spans="1:31" ht="15.75" customHeight="1" x14ac:dyDescent="0.2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</row>
    <row r="651" spans="1:31" ht="15.75" customHeight="1" x14ac:dyDescent="0.2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</row>
    <row r="652" spans="1:31" ht="15.75" customHeight="1" x14ac:dyDescent="0.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</row>
    <row r="653" spans="1:31" ht="15.75" customHeight="1" x14ac:dyDescent="0.2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</row>
    <row r="654" spans="1:31" ht="15.75" customHeight="1" x14ac:dyDescent="0.2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</row>
    <row r="655" spans="1:31" ht="15.75" customHeight="1" x14ac:dyDescent="0.2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</row>
    <row r="656" spans="1:31" ht="15.75" customHeight="1" x14ac:dyDescent="0.2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</row>
    <row r="657" spans="1:31" ht="15.75" customHeight="1" x14ac:dyDescent="0.2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</row>
    <row r="658" spans="1:31" ht="15.75" customHeight="1" x14ac:dyDescent="0.2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</row>
    <row r="659" spans="1:31" ht="15.75" customHeight="1" x14ac:dyDescent="0.2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</row>
    <row r="660" spans="1:31" ht="15.75" customHeight="1" x14ac:dyDescent="0.2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</row>
    <row r="661" spans="1:31" ht="15.75" customHeight="1" x14ac:dyDescent="0.2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</row>
    <row r="662" spans="1:31" ht="15.75" customHeight="1" x14ac:dyDescent="0.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</row>
    <row r="663" spans="1:31" ht="15.75" customHeight="1" x14ac:dyDescent="0.2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</row>
    <row r="664" spans="1:31" ht="15.75" customHeight="1" x14ac:dyDescent="0.2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</row>
    <row r="665" spans="1:31" ht="15.75" customHeight="1" x14ac:dyDescent="0.2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</row>
    <row r="666" spans="1:31" ht="15.75" customHeight="1" x14ac:dyDescent="0.2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</row>
    <row r="667" spans="1:31" ht="15.75" customHeight="1" x14ac:dyDescent="0.2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</row>
    <row r="668" spans="1:31" ht="15.75" customHeight="1" x14ac:dyDescent="0.2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</row>
    <row r="669" spans="1:31" ht="15.75" customHeight="1" x14ac:dyDescent="0.2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</row>
    <row r="670" spans="1:31" ht="15.75" customHeight="1" x14ac:dyDescent="0.2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</row>
    <row r="671" spans="1:31" ht="15.75" customHeight="1" x14ac:dyDescent="0.2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</row>
    <row r="672" spans="1:31" ht="15.75" customHeight="1" x14ac:dyDescent="0.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</row>
    <row r="673" spans="1:31" ht="15.75" customHeight="1" x14ac:dyDescent="0.2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</row>
    <row r="674" spans="1:31" ht="15.75" customHeight="1" x14ac:dyDescent="0.2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</row>
    <row r="675" spans="1:31" ht="15.75" customHeight="1" x14ac:dyDescent="0.2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</row>
    <row r="676" spans="1:31" ht="15.75" customHeight="1" x14ac:dyDescent="0.2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</row>
    <row r="677" spans="1:31" ht="15.75" customHeight="1" x14ac:dyDescent="0.2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</row>
    <row r="678" spans="1:31" ht="15.75" customHeight="1" x14ac:dyDescent="0.2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</row>
    <row r="679" spans="1:31" ht="15.75" customHeight="1" x14ac:dyDescent="0.2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</row>
    <row r="680" spans="1:31" ht="15.75" customHeight="1" x14ac:dyDescent="0.2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</row>
    <row r="681" spans="1:31" ht="15.75" customHeight="1" x14ac:dyDescent="0.2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</row>
    <row r="682" spans="1:31" ht="15.75" customHeight="1" x14ac:dyDescent="0.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</row>
    <row r="683" spans="1:31" ht="15.75" customHeight="1" x14ac:dyDescent="0.2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</row>
    <row r="684" spans="1:31" ht="15.75" customHeight="1" x14ac:dyDescent="0.2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</row>
    <row r="685" spans="1:31" ht="15.75" customHeight="1" x14ac:dyDescent="0.2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</row>
    <row r="686" spans="1:31" ht="15.75" customHeight="1" x14ac:dyDescent="0.2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</row>
    <row r="687" spans="1:31" ht="15.75" customHeight="1" x14ac:dyDescent="0.2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</row>
    <row r="688" spans="1:31" ht="15.75" customHeight="1" x14ac:dyDescent="0.2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</row>
    <row r="689" spans="1:31" ht="15.75" customHeight="1" x14ac:dyDescent="0.2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</row>
    <row r="690" spans="1:31" ht="15.75" customHeight="1" x14ac:dyDescent="0.2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</row>
    <row r="691" spans="1:31" ht="15.75" customHeight="1" x14ac:dyDescent="0.2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</row>
    <row r="692" spans="1:31" ht="15.75" customHeight="1" x14ac:dyDescent="0.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</row>
    <row r="693" spans="1:31" ht="15.75" customHeight="1" x14ac:dyDescent="0.2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</row>
    <row r="694" spans="1:31" ht="15.75" customHeight="1" x14ac:dyDescent="0.2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</row>
    <row r="695" spans="1:31" ht="15.75" customHeight="1" x14ac:dyDescent="0.2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</row>
    <row r="696" spans="1:31" ht="15.75" customHeight="1" x14ac:dyDescent="0.2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</row>
    <row r="697" spans="1:31" ht="15.75" customHeight="1" x14ac:dyDescent="0.2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</row>
    <row r="698" spans="1:31" ht="15.75" customHeight="1" x14ac:dyDescent="0.2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</row>
    <row r="699" spans="1:31" ht="15.75" customHeight="1" x14ac:dyDescent="0.2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</row>
    <row r="700" spans="1:31" ht="15.75" customHeight="1" x14ac:dyDescent="0.2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</row>
    <row r="701" spans="1:31" ht="15.75" customHeight="1" x14ac:dyDescent="0.2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</row>
    <row r="702" spans="1:31" ht="15.75" customHeight="1" x14ac:dyDescent="0.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</row>
    <row r="703" spans="1:31" ht="15.75" customHeight="1" x14ac:dyDescent="0.2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</row>
    <row r="704" spans="1:31" ht="15.75" customHeight="1" x14ac:dyDescent="0.2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</row>
    <row r="705" spans="1:31" ht="15.75" customHeight="1" x14ac:dyDescent="0.2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</row>
    <row r="706" spans="1:31" ht="15.75" customHeight="1" x14ac:dyDescent="0.2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</row>
    <row r="707" spans="1:31" ht="15.75" customHeight="1" x14ac:dyDescent="0.2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</row>
    <row r="708" spans="1:31" ht="15.75" customHeight="1" x14ac:dyDescent="0.2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</row>
    <row r="709" spans="1:31" ht="15.75" customHeight="1" x14ac:dyDescent="0.2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</row>
    <row r="710" spans="1:31" ht="15.75" customHeight="1" x14ac:dyDescent="0.2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</row>
    <row r="711" spans="1:31" ht="15.75" customHeight="1" x14ac:dyDescent="0.2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</row>
    <row r="712" spans="1:31" ht="15.75" customHeight="1" x14ac:dyDescent="0.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</row>
    <row r="713" spans="1:31" ht="15.75" customHeight="1" x14ac:dyDescent="0.2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</row>
    <row r="714" spans="1:31" ht="15.75" customHeight="1" x14ac:dyDescent="0.2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</row>
    <row r="715" spans="1:31" ht="15.75" customHeight="1" x14ac:dyDescent="0.2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</row>
    <row r="716" spans="1:31" ht="15.75" customHeight="1" x14ac:dyDescent="0.2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</row>
    <row r="717" spans="1:31" ht="15.75" customHeight="1" x14ac:dyDescent="0.2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</row>
    <row r="718" spans="1:31" ht="15.75" customHeight="1" x14ac:dyDescent="0.2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</row>
    <row r="719" spans="1:31" ht="15.75" customHeight="1" x14ac:dyDescent="0.2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</row>
    <row r="720" spans="1:31" ht="15.75" customHeight="1" x14ac:dyDescent="0.2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</row>
    <row r="721" spans="1:31" ht="15.75" customHeight="1" x14ac:dyDescent="0.2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</row>
    <row r="722" spans="1:31" ht="15.75" customHeight="1" x14ac:dyDescent="0.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</row>
    <row r="723" spans="1:31" ht="15.75" customHeight="1" x14ac:dyDescent="0.2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</row>
    <row r="724" spans="1:31" ht="15.75" customHeight="1" x14ac:dyDescent="0.2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</row>
    <row r="725" spans="1:31" ht="15.75" customHeight="1" x14ac:dyDescent="0.2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</row>
    <row r="726" spans="1:31" ht="15.75" customHeight="1" x14ac:dyDescent="0.2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</row>
    <row r="727" spans="1:31" ht="15.75" customHeight="1" x14ac:dyDescent="0.2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</row>
    <row r="728" spans="1:31" ht="15.75" customHeight="1" x14ac:dyDescent="0.2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</row>
    <row r="729" spans="1:31" ht="15.75" customHeight="1" x14ac:dyDescent="0.2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</row>
    <row r="730" spans="1:31" ht="15.75" customHeight="1" x14ac:dyDescent="0.2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</row>
    <row r="731" spans="1:31" ht="15.75" customHeight="1" x14ac:dyDescent="0.2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</row>
    <row r="732" spans="1:31" ht="15.75" customHeight="1" x14ac:dyDescent="0.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</row>
    <row r="733" spans="1:31" ht="15.75" customHeight="1" x14ac:dyDescent="0.2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</row>
    <row r="734" spans="1:31" ht="15.75" customHeight="1" x14ac:dyDescent="0.2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</row>
    <row r="735" spans="1:31" ht="15.75" customHeight="1" x14ac:dyDescent="0.2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</row>
    <row r="736" spans="1:31" ht="15.75" customHeight="1" x14ac:dyDescent="0.2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</row>
    <row r="737" spans="1:31" ht="15.75" customHeight="1" x14ac:dyDescent="0.2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</row>
    <row r="738" spans="1:31" ht="15.75" customHeight="1" x14ac:dyDescent="0.2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</row>
    <row r="739" spans="1:31" ht="15.75" customHeight="1" x14ac:dyDescent="0.2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</row>
    <row r="740" spans="1:31" ht="15.75" customHeight="1" x14ac:dyDescent="0.2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</row>
    <row r="741" spans="1:31" ht="15.75" customHeight="1" x14ac:dyDescent="0.2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</row>
    <row r="742" spans="1:31" ht="15.75" customHeight="1" x14ac:dyDescent="0.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</row>
    <row r="743" spans="1:31" ht="15.75" customHeight="1" x14ac:dyDescent="0.2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</row>
    <row r="744" spans="1:31" ht="15.75" customHeight="1" x14ac:dyDescent="0.2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</row>
    <row r="745" spans="1:31" ht="15.75" customHeight="1" x14ac:dyDescent="0.2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</row>
    <row r="746" spans="1:31" ht="15.75" customHeight="1" x14ac:dyDescent="0.2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</row>
    <row r="747" spans="1:31" ht="15.75" customHeight="1" x14ac:dyDescent="0.2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</row>
    <row r="748" spans="1:31" ht="15.75" customHeight="1" x14ac:dyDescent="0.2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</row>
    <row r="749" spans="1:31" ht="15.75" customHeight="1" x14ac:dyDescent="0.2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</row>
    <row r="750" spans="1:31" ht="15.75" customHeight="1" x14ac:dyDescent="0.2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</row>
    <row r="751" spans="1:31" ht="15.75" customHeight="1" x14ac:dyDescent="0.2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</row>
    <row r="752" spans="1:31" ht="15.75" customHeight="1" x14ac:dyDescent="0.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</row>
    <row r="753" spans="1:31" ht="15.75" customHeight="1" x14ac:dyDescent="0.2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</row>
    <row r="754" spans="1:31" ht="15.75" customHeight="1" x14ac:dyDescent="0.2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</row>
    <row r="755" spans="1:31" ht="15.75" customHeight="1" x14ac:dyDescent="0.2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</row>
    <row r="756" spans="1:31" ht="15.75" customHeight="1" x14ac:dyDescent="0.2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</row>
    <row r="757" spans="1:31" ht="15.75" customHeight="1" x14ac:dyDescent="0.2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</row>
    <row r="758" spans="1:31" ht="15.75" customHeight="1" x14ac:dyDescent="0.2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</row>
    <row r="759" spans="1:31" ht="15.75" customHeight="1" x14ac:dyDescent="0.2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</row>
    <row r="760" spans="1:31" ht="15.75" customHeight="1" x14ac:dyDescent="0.2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</row>
    <row r="761" spans="1:31" ht="15.75" customHeight="1" x14ac:dyDescent="0.2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</row>
    <row r="762" spans="1:31" ht="15.75" customHeight="1" x14ac:dyDescent="0.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</row>
    <row r="763" spans="1:31" ht="15.75" customHeight="1" x14ac:dyDescent="0.2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</row>
    <row r="764" spans="1:31" ht="15.75" customHeight="1" x14ac:dyDescent="0.2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</row>
    <row r="765" spans="1:31" ht="15.75" customHeight="1" x14ac:dyDescent="0.2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</row>
    <row r="766" spans="1:31" ht="15.75" customHeight="1" x14ac:dyDescent="0.2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</row>
    <row r="767" spans="1:31" ht="15.75" customHeight="1" x14ac:dyDescent="0.2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</row>
    <row r="768" spans="1:31" ht="15.75" customHeight="1" x14ac:dyDescent="0.2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</row>
    <row r="769" spans="1:31" ht="15.75" customHeight="1" x14ac:dyDescent="0.2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</row>
    <row r="770" spans="1:31" ht="15.75" customHeight="1" x14ac:dyDescent="0.2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</row>
    <row r="771" spans="1:31" ht="15.75" customHeight="1" x14ac:dyDescent="0.2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</row>
    <row r="772" spans="1:31" ht="15.75" customHeight="1" x14ac:dyDescent="0.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</row>
    <row r="773" spans="1:31" ht="15.75" customHeight="1" x14ac:dyDescent="0.2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</row>
    <row r="774" spans="1:31" ht="15.75" customHeight="1" x14ac:dyDescent="0.2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</row>
    <row r="775" spans="1:31" ht="15.75" customHeight="1" x14ac:dyDescent="0.2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</row>
    <row r="776" spans="1:31" ht="15.75" customHeight="1" x14ac:dyDescent="0.2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</row>
    <row r="777" spans="1:31" ht="15.75" customHeight="1" x14ac:dyDescent="0.2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</row>
    <row r="778" spans="1:31" ht="15.75" customHeight="1" x14ac:dyDescent="0.2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</row>
    <row r="779" spans="1:31" ht="15.75" customHeight="1" x14ac:dyDescent="0.2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</row>
    <row r="780" spans="1:31" ht="15.75" customHeight="1" x14ac:dyDescent="0.2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</row>
    <row r="781" spans="1:31" ht="15.75" customHeight="1" x14ac:dyDescent="0.2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</row>
    <row r="782" spans="1:31" ht="15.75" customHeight="1" x14ac:dyDescent="0.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</row>
    <row r="783" spans="1:31" ht="15.75" customHeight="1" x14ac:dyDescent="0.2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</row>
    <row r="784" spans="1:31" ht="15.75" customHeight="1" x14ac:dyDescent="0.2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</row>
    <row r="785" spans="1:31" ht="15.75" customHeight="1" x14ac:dyDescent="0.2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</row>
    <row r="786" spans="1:31" ht="15.75" customHeight="1" x14ac:dyDescent="0.2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</row>
    <row r="787" spans="1:31" ht="15.75" customHeight="1" x14ac:dyDescent="0.2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</row>
    <row r="788" spans="1:31" ht="15.75" customHeight="1" x14ac:dyDescent="0.2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</row>
    <row r="789" spans="1:31" ht="15.75" customHeight="1" x14ac:dyDescent="0.2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</row>
    <row r="790" spans="1:31" ht="15.75" customHeight="1" x14ac:dyDescent="0.2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</row>
    <row r="791" spans="1:31" ht="15.75" customHeight="1" x14ac:dyDescent="0.2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</row>
    <row r="792" spans="1:31" ht="15.75" customHeight="1" x14ac:dyDescent="0.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</row>
    <row r="793" spans="1:31" ht="15.75" customHeight="1" x14ac:dyDescent="0.2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</row>
    <row r="794" spans="1:31" ht="15.75" customHeight="1" x14ac:dyDescent="0.2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</row>
    <row r="795" spans="1:31" ht="15.75" customHeight="1" x14ac:dyDescent="0.2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</row>
    <row r="796" spans="1:31" ht="15.75" customHeight="1" x14ac:dyDescent="0.2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</row>
    <row r="797" spans="1:31" ht="15.75" customHeight="1" x14ac:dyDescent="0.2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</row>
    <row r="798" spans="1:31" ht="15.75" customHeight="1" x14ac:dyDescent="0.2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</row>
    <row r="799" spans="1:31" ht="15.75" customHeight="1" x14ac:dyDescent="0.2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</row>
    <row r="800" spans="1:31" ht="15.75" customHeight="1" x14ac:dyDescent="0.2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</row>
    <row r="801" spans="1:31" ht="15.75" customHeight="1" x14ac:dyDescent="0.2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</row>
    <row r="802" spans="1:31" ht="15.75" customHeight="1" x14ac:dyDescent="0.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</row>
    <row r="803" spans="1:31" ht="15.75" customHeight="1" x14ac:dyDescent="0.2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</row>
    <row r="804" spans="1:31" ht="15.75" customHeight="1" x14ac:dyDescent="0.2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</row>
    <row r="805" spans="1:31" ht="15.75" customHeight="1" x14ac:dyDescent="0.2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</row>
    <row r="806" spans="1:31" ht="15.75" customHeight="1" x14ac:dyDescent="0.2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</row>
    <row r="807" spans="1:31" ht="15.75" customHeight="1" x14ac:dyDescent="0.2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</row>
    <row r="808" spans="1:31" ht="15.75" customHeight="1" x14ac:dyDescent="0.2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</row>
    <row r="809" spans="1:31" ht="15.75" customHeight="1" x14ac:dyDescent="0.2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</row>
    <row r="810" spans="1:31" ht="15.75" customHeight="1" x14ac:dyDescent="0.2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</row>
    <row r="811" spans="1:31" ht="15.75" customHeight="1" x14ac:dyDescent="0.2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</row>
    <row r="812" spans="1:31" ht="15.75" customHeight="1" x14ac:dyDescent="0.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</row>
    <row r="813" spans="1:31" ht="15.75" customHeight="1" x14ac:dyDescent="0.2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</row>
    <row r="814" spans="1:31" ht="15.75" customHeight="1" x14ac:dyDescent="0.2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</row>
    <row r="815" spans="1:31" ht="15.75" customHeight="1" x14ac:dyDescent="0.2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</row>
    <row r="816" spans="1:31" ht="15.75" customHeight="1" x14ac:dyDescent="0.2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</row>
    <row r="817" spans="1:31" ht="15.75" customHeight="1" x14ac:dyDescent="0.2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</row>
    <row r="818" spans="1:31" ht="15.75" customHeight="1" x14ac:dyDescent="0.2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</row>
    <row r="819" spans="1:31" ht="15.75" customHeight="1" x14ac:dyDescent="0.2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</row>
    <row r="820" spans="1:31" ht="15.75" customHeight="1" x14ac:dyDescent="0.2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</row>
    <row r="821" spans="1:31" ht="15.75" customHeight="1" x14ac:dyDescent="0.2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</row>
    <row r="822" spans="1:31" ht="15.75" customHeight="1" x14ac:dyDescent="0.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</row>
    <row r="823" spans="1:31" ht="15.75" customHeight="1" x14ac:dyDescent="0.2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</row>
    <row r="824" spans="1:31" ht="15.75" customHeight="1" x14ac:dyDescent="0.2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</row>
    <row r="825" spans="1:31" ht="15.75" customHeight="1" x14ac:dyDescent="0.2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</row>
    <row r="826" spans="1:31" ht="15.75" customHeight="1" x14ac:dyDescent="0.2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</row>
    <row r="827" spans="1:31" ht="15.75" customHeight="1" x14ac:dyDescent="0.2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</row>
    <row r="828" spans="1:31" ht="15.75" customHeight="1" x14ac:dyDescent="0.2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</row>
    <row r="829" spans="1:31" ht="15.75" customHeight="1" x14ac:dyDescent="0.2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</row>
    <row r="830" spans="1:31" ht="15.75" customHeight="1" x14ac:dyDescent="0.2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</row>
    <row r="831" spans="1:31" ht="15.75" customHeight="1" x14ac:dyDescent="0.2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</row>
    <row r="832" spans="1:31" ht="15.75" customHeight="1" x14ac:dyDescent="0.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</row>
    <row r="833" spans="1:31" ht="15.75" customHeight="1" x14ac:dyDescent="0.2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</row>
    <row r="834" spans="1:31" ht="15.75" customHeight="1" x14ac:dyDescent="0.2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</row>
    <row r="835" spans="1:31" ht="15.75" customHeight="1" x14ac:dyDescent="0.2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</row>
    <row r="836" spans="1:31" ht="15.75" customHeight="1" x14ac:dyDescent="0.2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</row>
    <row r="837" spans="1:31" ht="15.75" customHeight="1" x14ac:dyDescent="0.2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</row>
    <row r="838" spans="1:31" ht="15.75" customHeight="1" x14ac:dyDescent="0.2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</row>
    <row r="839" spans="1:31" ht="15.75" customHeight="1" x14ac:dyDescent="0.2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</row>
    <row r="840" spans="1:31" ht="15.75" customHeight="1" x14ac:dyDescent="0.2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</row>
    <row r="841" spans="1:31" ht="15.75" customHeight="1" x14ac:dyDescent="0.2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</row>
    <row r="842" spans="1:31" ht="15.75" customHeight="1" x14ac:dyDescent="0.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</row>
    <row r="843" spans="1:31" ht="15.75" customHeight="1" x14ac:dyDescent="0.2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</row>
    <row r="844" spans="1:31" ht="15.75" customHeight="1" x14ac:dyDescent="0.2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</row>
    <row r="845" spans="1:31" ht="15.75" customHeight="1" x14ac:dyDescent="0.2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</row>
    <row r="846" spans="1:31" ht="15.75" customHeight="1" x14ac:dyDescent="0.2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</row>
    <row r="847" spans="1:31" ht="15.75" customHeight="1" x14ac:dyDescent="0.2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</row>
    <row r="848" spans="1:31" ht="15.75" customHeight="1" x14ac:dyDescent="0.2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</row>
    <row r="849" spans="1:31" ht="15.75" customHeight="1" x14ac:dyDescent="0.2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</row>
    <row r="850" spans="1:31" ht="15.75" customHeight="1" x14ac:dyDescent="0.2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</row>
    <row r="851" spans="1:31" ht="15.75" customHeight="1" x14ac:dyDescent="0.2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</row>
    <row r="852" spans="1:31" ht="15.75" customHeight="1" x14ac:dyDescent="0.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</row>
    <row r="853" spans="1:31" ht="15.75" customHeight="1" x14ac:dyDescent="0.2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</row>
    <row r="854" spans="1:31" ht="15.75" customHeight="1" x14ac:dyDescent="0.2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</row>
    <row r="855" spans="1:31" ht="15.75" customHeight="1" x14ac:dyDescent="0.2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</row>
    <row r="856" spans="1:31" ht="15.75" customHeight="1" x14ac:dyDescent="0.2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</row>
    <row r="857" spans="1:31" ht="15.75" customHeight="1" x14ac:dyDescent="0.2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</row>
    <row r="858" spans="1:31" ht="15.75" customHeight="1" x14ac:dyDescent="0.2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</row>
    <row r="859" spans="1:31" ht="15.75" customHeight="1" x14ac:dyDescent="0.2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</row>
    <row r="860" spans="1:31" ht="15.75" customHeight="1" x14ac:dyDescent="0.2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</row>
    <row r="861" spans="1:31" ht="15.75" customHeight="1" x14ac:dyDescent="0.2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</row>
    <row r="862" spans="1:31" ht="15.75" customHeight="1" x14ac:dyDescent="0.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</row>
    <row r="863" spans="1:31" ht="15.75" customHeight="1" x14ac:dyDescent="0.2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</row>
    <row r="864" spans="1:31" ht="15.75" customHeight="1" x14ac:dyDescent="0.2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</row>
    <row r="865" spans="1:31" ht="15.75" customHeight="1" x14ac:dyDescent="0.2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</row>
    <row r="866" spans="1:31" ht="15.75" customHeight="1" x14ac:dyDescent="0.2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</row>
    <row r="867" spans="1:31" ht="15.75" customHeight="1" x14ac:dyDescent="0.2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</row>
    <row r="868" spans="1:31" ht="15.75" customHeight="1" x14ac:dyDescent="0.2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</row>
    <row r="869" spans="1:31" ht="15.75" customHeight="1" x14ac:dyDescent="0.2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</row>
    <row r="870" spans="1:31" ht="15.75" customHeight="1" x14ac:dyDescent="0.2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</row>
    <row r="871" spans="1:31" ht="15.75" customHeight="1" x14ac:dyDescent="0.2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</row>
    <row r="872" spans="1:31" ht="15.75" customHeight="1" x14ac:dyDescent="0.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</row>
    <row r="873" spans="1:31" ht="15.75" customHeight="1" x14ac:dyDescent="0.2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</row>
    <row r="874" spans="1:31" ht="15.75" customHeight="1" x14ac:dyDescent="0.2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</row>
    <row r="875" spans="1:31" ht="15.75" customHeight="1" x14ac:dyDescent="0.2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</row>
    <row r="876" spans="1:31" ht="15.75" customHeight="1" x14ac:dyDescent="0.2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</row>
    <row r="877" spans="1:31" ht="15.75" customHeight="1" x14ac:dyDescent="0.2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</row>
    <row r="878" spans="1:31" ht="15.75" customHeight="1" x14ac:dyDescent="0.2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</row>
    <row r="879" spans="1:31" ht="15.75" customHeight="1" x14ac:dyDescent="0.2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</row>
    <row r="880" spans="1:31" ht="15.75" customHeight="1" x14ac:dyDescent="0.2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</row>
    <row r="881" spans="1:31" ht="15.75" customHeight="1" x14ac:dyDescent="0.2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</row>
    <row r="882" spans="1:31" ht="15.75" customHeight="1" x14ac:dyDescent="0.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</row>
    <row r="883" spans="1:31" ht="15.75" customHeight="1" x14ac:dyDescent="0.2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</row>
    <row r="884" spans="1:31" ht="15.75" customHeight="1" x14ac:dyDescent="0.2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</row>
    <row r="885" spans="1:31" ht="15.75" customHeight="1" x14ac:dyDescent="0.2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</row>
    <row r="886" spans="1:31" ht="15.75" customHeight="1" x14ac:dyDescent="0.2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</row>
    <row r="887" spans="1:31" ht="15.75" customHeight="1" x14ac:dyDescent="0.2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</row>
    <row r="888" spans="1:31" ht="15.75" customHeight="1" x14ac:dyDescent="0.2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</row>
    <row r="889" spans="1:31" ht="15.75" customHeight="1" x14ac:dyDescent="0.2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</row>
    <row r="890" spans="1:31" ht="15.75" customHeight="1" x14ac:dyDescent="0.2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</row>
    <row r="891" spans="1:31" ht="15.75" customHeight="1" x14ac:dyDescent="0.2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</row>
    <row r="892" spans="1:31" ht="15.75" customHeight="1" x14ac:dyDescent="0.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</row>
    <row r="893" spans="1:31" ht="15.75" customHeight="1" x14ac:dyDescent="0.2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</row>
    <row r="894" spans="1:31" ht="15.75" customHeight="1" x14ac:dyDescent="0.2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</row>
    <row r="895" spans="1:31" ht="15.75" customHeight="1" x14ac:dyDescent="0.2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</row>
    <row r="896" spans="1:31" ht="15.75" customHeight="1" x14ac:dyDescent="0.2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</row>
    <row r="897" spans="1:31" ht="15.75" customHeight="1" x14ac:dyDescent="0.2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</row>
    <row r="898" spans="1:31" ht="15.75" customHeight="1" x14ac:dyDescent="0.2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</row>
    <row r="899" spans="1:31" ht="15.75" customHeight="1" x14ac:dyDescent="0.2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</row>
    <row r="900" spans="1:31" ht="15.75" customHeight="1" x14ac:dyDescent="0.2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</row>
    <row r="901" spans="1:31" ht="15.75" customHeight="1" x14ac:dyDescent="0.2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</row>
    <row r="902" spans="1:31" ht="15.75" customHeight="1" x14ac:dyDescent="0.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</row>
    <row r="903" spans="1:31" ht="15.75" customHeight="1" x14ac:dyDescent="0.2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</row>
    <row r="904" spans="1:31" ht="15.75" customHeight="1" x14ac:dyDescent="0.2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</row>
    <row r="905" spans="1:31" ht="15.75" customHeight="1" x14ac:dyDescent="0.2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</row>
    <row r="906" spans="1:31" ht="15.75" customHeight="1" x14ac:dyDescent="0.2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</row>
    <row r="907" spans="1:31" ht="15.75" customHeight="1" x14ac:dyDescent="0.2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</row>
    <row r="908" spans="1:31" ht="15.75" customHeight="1" x14ac:dyDescent="0.2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</row>
    <row r="909" spans="1:31" ht="15.75" customHeight="1" x14ac:dyDescent="0.2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</row>
    <row r="910" spans="1:31" ht="15.75" customHeight="1" x14ac:dyDescent="0.2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</row>
    <row r="911" spans="1:31" ht="15.75" customHeight="1" x14ac:dyDescent="0.2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</row>
    <row r="912" spans="1:31" ht="15.75" customHeight="1" x14ac:dyDescent="0.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</row>
    <row r="913" spans="1:31" ht="15.75" customHeight="1" x14ac:dyDescent="0.2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</row>
    <row r="914" spans="1:31" ht="15.75" customHeight="1" x14ac:dyDescent="0.2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</row>
    <row r="915" spans="1:31" ht="15.75" customHeight="1" x14ac:dyDescent="0.2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</row>
    <row r="916" spans="1:31" ht="15.75" customHeight="1" x14ac:dyDescent="0.2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</row>
    <row r="917" spans="1:31" ht="15.75" customHeight="1" x14ac:dyDescent="0.2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</row>
    <row r="918" spans="1:31" ht="15.75" customHeight="1" x14ac:dyDescent="0.2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</row>
    <row r="919" spans="1:31" ht="15.75" customHeight="1" x14ac:dyDescent="0.2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</row>
    <row r="920" spans="1:31" ht="15.75" customHeight="1" x14ac:dyDescent="0.2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</row>
    <row r="921" spans="1:31" ht="15.75" customHeight="1" x14ac:dyDescent="0.2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</row>
    <row r="922" spans="1:31" ht="15.75" customHeight="1" x14ac:dyDescent="0.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</row>
    <row r="923" spans="1:31" ht="15.75" customHeight="1" x14ac:dyDescent="0.2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</row>
    <row r="924" spans="1:31" ht="15.75" customHeight="1" x14ac:dyDescent="0.2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</row>
    <row r="925" spans="1:31" ht="15.75" customHeight="1" x14ac:dyDescent="0.2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</row>
    <row r="926" spans="1:31" ht="15.75" customHeight="1" x14ac:dyDescent="0.2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</row>
    <row r="927" spans="1:31" ht="15.75" customHeight="1" x14ac:dyDescent="0.2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</row>
    <row r="928" spans="1:31" ht="15.75" customHeight="1" x14ac:dyDescent="0.2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</row>
    <row r="929" spans="1:31" ht="15.75" customHeight="1" x14ac:dyDescent="0.2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</row>
    <row r="930" spans="1:31" ht="15.75" customHeight="1" x14ac:dyDescent="0.2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</row>
    <row r="931" spans="1:31" ht="15.75" customHeight="1" x14ac:dyDescent="0.2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</row>
    <row r="932" spans="1:31" ht="15.75" customHeight="1" x14ac:dyDescent="0.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</row>
    <row r="933" spans="1:31" ht="15.75" customHeight="1" x14ac:dyDescent="0.2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</row>
    <row r="934" spans="1:31" ht="15.75" customHeight="1" x14ac:dyDescent="0.2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</row>
    <row r="935" spans="1:31" ht="15.75" customHeight="1" x14ac:dyDescent="0.2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</row>
    <row r="936" spans="1:31" ht="15.75" customHeight="1" x14ac:dyDescent="0.2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</row>
    <row r="937" spans="1:31" ht="15.75" customHeight="1" x14ac:dyDescent="0.2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</row>
    <row r="938" spans="1:31" ht="15.75" customHeight="1" x14ac:dyDescent="0.2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</row>
    <row r="939" spans="1:31" ht="15.75" customHeight="1" x14ac:dyDescent="0.2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</row>
    <row r="940" spans="1:31" ht="15.75" customHeight="1" x14ac:dyDescent="0.2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</row>
    <row r="941" spans="1:31" ht="15.75" customHeight="1" x14ac:dyDescent="0.2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</row>
    <row r="942" spans="1:31" ht="15.75" customHeight="1" x14ac:dyDescent="0.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</row>
    <row r="943" spans="1:31" ht="15.75" customHeight="1" x14ac:dyDescent="0.2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</row>
    <row r="944" spans="1:31" ht="15.75" customHeight="1" x14ac:dyDescent="0.2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</row>
    <row r="945" spans="1:31" ht="15.75" customHeight="1" x14ac:dyDescent="0.2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</row>
    <row r="946" spans="1:31" ht="15.75" customHeight="1" x14ac:dyDescent="0.2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</row>
    <row r="947" spans="1:31" ht="15.75" customHeight="1" x14ac:dyDescent="0.2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</row>
    <row r="948" spans="1:31" ht="15.75" customHeight="1" x14ac:dyDescent="0.2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</row>
    <row r="949" spans="1:31" ht="15.75" customHeight="1" x14ac:dyDescent="0.2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</row>
    <row r="950" spans="1:31" ht="15.75" customHeight="1" x14ac:dyDescent="0.2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</row>
    <row r="951" spans="1:31" ht="15.75" customHeight="1" x14ac:dyDescent="0.2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</row>
    <row r="952" spans="1:31" ht="15.75" customHeight="1" x14ac:dyDescent="0.2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</row>
    <row r="953" spans="1:31" ht="15.75" customHeight="1" x14ac:dyDescent="0.2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</row>
    <row r="954" spans="1:31" ht="15.75" customHeight="1" x14ac:dyDescent="0.2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</row>
    <row r="955" spans="1:31" ht="15.75" customHeight="1" x14ac:dyDescent="0.2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</row>
    <row r="956" spans="1:31" ht="15.75" customHeight="1" x14ac:dyDescent="0.2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</row>
    <row r="957" spans="1:31" ht="15.75" customHeight="1" x14ac:dyDescent="0.2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</row>
    <row r="958" spans="1:31" ht="15.75" customHeight="1" x14ac:dyDescent="0.2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</row>
    <row r="959" spans="1:31" ht="15.75" customHeight="1" x14ac:dyDescent="0.2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</row>
    <row r="960" spans="1:31" ht="15.75" customHeight="1" x14ac:dyDescent="0.2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</row>
    <row r="961" spans="1:31" ht="15.75" customHeight="1" x14ac:dyDescent="0.2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</row>
    <row r="962" spans="1:31" ht="15.75" customHeight="1" x14ac:dyDescent="0.2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</row>
    <row r="963" spans="1:31" ht="15.75" customHeight="1" x14ac:dyDescent="0.2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</row>
    <row r="964" spans="1:31" ht="15.75" customHeight="1" x14ac:dyDescent="0.2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</row>
    <row r="965" spans="1:31" ht="15.75" customHeight="1" x14ac:dyDescent="0.2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</row>
    <row r="966" spans="1:31" ht="15.75" customHeight="1" x14ac:dyDescent="0.2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</row>
    <row r="967" spans="1:31" ht="15.75" customHeight="1" x14ac:dyDescent="0.2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</row>
    <row r="968" spans="1:31" ht="15.75" customHeight="1" x14ac:dyDescent="0.2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</row>
    <row r="969" spans="1:31" ht="15.75" customHeight="1" x14ac:dyDescent="0.2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</row>
    <row r="970" spans="1:31" ht="15.75" customHeight="1" x14ac:dyDescent="0.2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</row>
    <row r="971" spans="1:31" ht="15.75" customHeight="1" x14ac:dyDescent="0.2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</row>
    <row r="972" spans="1:31" ht="15.75" customHeight="1" x14ac:dyDescent="0.2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</row>
    <row r="973" spans="1:31" ht="15.75" customHeight="1" x14ac:dyDescent="0.2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</row>
    <row r="974" spans="1:31" ht="15.75" customHeight="1" x14ac:dyDescent="0.2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</row>
    <row r="975" spans="1:31" ht="15.75" customHeight="1" x14ac:dyDescent="0.2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</row>
    <row r="976" spans="1:31" ht="15.75" customHeight="1" x14ac:dyDescent="0.2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</row>
    <row r="977" spans="1:31" ht="15.75" customHeight="1" x14ac:dyDescent="0.2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</row>
    <row r="978" spans="1:31" ht="15.75" customHeight="1" x14ac:dyDescent="0.2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</row>
    <row r="979" spans="1:31" ht="15.75" customHeight="1" x14ac:dyDescent="0.2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</row>
    <row r="980" spans="1:31" ht="15.75" customHeight="1" x14ac:dyDescent="0.2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</row>
    <row r="981" spans="1:31" ht="15.75" customHeight="1" x14ac:dyDescent="0.2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</row>
    <row r="982" spans="1:31" ht="15.75" customHeight="1" x14ac:dyDescent="0.2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</row>
    <row r="983" spans="1:31" ht="15.75" customHeight="1" x14ac:dyDescent="0.2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</row>
    <row r="984" spans="1:31" ht="15.75" customHeight="1" x14ac:dyDescent="0.2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</row>
    <row r="985" spans="1:31" ht="15.75" customHeight="1" x14ac:dyDescent="0.2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</row>
    <row r="986" spans="1:31" ht="15.75" customHeight="1" x14ac:dyDescent="0.2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</row>
    <row r="987" spans="1:31" ht="15.75" customHeight="1" x14ac:dyDescent="0.2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</row>
    <row r="988" spans="1:31" ht="15.75" customHeight="1" x14ac:dyDescent="0.2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</row>
    <row r="989" spans="1:31" ht="15.75" customHeight="1" x14ac:dyDescent="0.2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</row>
    <row r="990" spans="1:31" ht="15.75" customHeight="1" x14ac:dyDescent="0.2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</row>
    <row r="991" spans="1:31" ht="15.75" customHeight="1" x14ac:dyDescent="0.2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Albañileria</vt:lpstr>
      <vt:lpstr>Mamposterias</vt:lpstr>
      <vt:lpstr>Rev. exterior</vt:lpstr>
      <vt:lpstr>Hormigon</vt:lpstr>
      <vt:lpstr>Instalaciones</vt:lpstr>
      <vt:lpstr>Computo</vt:lpstr>
      <vt:lpstr>Analisis</vt:lpstr>
      <vt:lpstr>Estudio</vt:lpstr>
      <vt:lpstr>Computo!Área_de_impresión</vt:lpstr>
      <vt:lpstr>Computo!Títulos_a_imprimir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Titular</dc:creator>
  <cp:lastModifiedBy>USUARIO</cp:lastModifiedBy>
  <cp:lastPrinted>2024-05-14T13:19:59Z</cp:lastPrinted>
  <dcterms:created xsi:type="dcterms:W3CDTF">2009-04-27T12:22:40Z</dcterms:created>
  <dcterms:modified xsi:type="dcterms:W3CDTF">2025-08-29T15:27:44Z</dcterms:modified>
</cp:coreProperties>
</file>